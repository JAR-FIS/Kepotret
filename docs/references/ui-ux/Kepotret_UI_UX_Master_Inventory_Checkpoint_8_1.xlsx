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29058c71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88f4a8c4c14cdf"/>
    <x:sheet xmlns:r="http://schemas.openxmlformats.org/officeDocument/2006/relationships" name="Pages" sheetId="2" r:id="R82efd08de5494b6f"/>
    <x:sheet xmlns:r="http://schemas.openxmlformats.org/officeDocument/2006/relationships" name="Modals" sheetId="3" r:id="R4fb9bc33df2b4768"/>
    <x:sheet xmlns:r="http://schemas.openxmlformats.org/officeDocument/2006/relationships" name="Drawers" sheetId="4" r:id="R9c2c1d88200b468f"/>
    <x:sheet xmlns:r="http://schemas.openxmlformats.org/officeDocument/2006/relationships" name="Popovers" sheetId="5" r:id="Rb8453f928d67486b"/>
    <x:sheet xmlns:r="http://schemas.openxmlformats.org/officeDocument/2006/relationships" name="Alerts" sheetId="6" r:id="R26b28472ddb74534"/>
    <x:sheet xmlns:r="http://schemas.openxmlformats.org/officeDocument/2006/relationships" name="Toasts" sheetId="7" r:id="R31e3c4f50436439b"/>
    <x:sheet xmlns:r="http://schemas.openxmlformats.org/officeDocument/2006/relationships" name="Exceptions" sheetId="8" r:id="Rd3ee0f3262f04f8b"/>
    <x:sheet xmlns:r="http://schemas.openxmlformats.org/officeDocument/2006/relationships" name="Chatbot" sheetId="9" r:id="R16d83574cd1942f0"/>
    <x:sheet xmlns:r="http://schemas.openxmlformats.org/officeDocument/2006/relationships" name="Overlays" sheetId="10" r:id="R0449766ba89541af"/>
    <x:sheet xmlns:r="http://schemas.openxmlformats.org/officeDocument/2006/relationships" name="Page States" sheetId="11" r:id="R5daf5bae770e439c"/>
    <x:sheet xmlns:r="http://schemas.openxmlformats.org/officeDocument/2006/relationships" name="Page Areas" sheetId="12" r:id="R042b116767994d22"/>
    <x:sheet xmlns:r="http://schemas.openxmlformats.org/officeDocument/2006/relationships" name="Code Rules" sheetId="13" r:id="Rd81c2d43d0654191"/>
    <x:sheet xmlns:r="http://schemas.openxmlformats.org/officeDocument/2006/relationships" name="Estimation Guidance" sheetId="14" r:id="R52acfd6b209a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b7eecf7744455" /><Relationship Type="http://schemas.openxmlformats.org/officeDocument/2006/relationships/theme" Target="/xl/theme/theme1.xml" Id="R235b591877e9439b" /><Relationship Type="http://schemas.openxmlformats.org/officeDocument/2006/relationships/sharedStrings" Target="/xl/sharedStrings.xml" Id="Rec380b0c25284e0b" /><Relationship Type="http://schemas.openxmlformats.org/officeDocument/2006/relationships/worksheet" Target="/xl/worksheets/sheet1.xml" Id="R4588f4a8c4c14cdf" /><Relationship Type="http://schemas.openxmlformats.org/officeDocument/2006/relationships/worksheet" Target="/xl/worksheets/sheet2.xml" Id="R82efd08de5494b6f" /><Relationship Type="http://schemas.openxmlformats.org/officeDocument/2006/relationships/worksheet" Target="/xl/worksheets/sheet3.xml" Id="R4fb9bc33df2b4768" /><Relationship Type="http://schemas.openxmlformats.org/officeDocument/2006/relationships/worksheet" Target="/xl/worksheets/sheet4.xml" Id="R9c2c1d88200b468f" /><Relationship Type="http://schemas.openxmlformats.org/officeDocument/2006/relationships/worksheet" Target="/xl/worksheets/sheet5.xml" Id="Rb8453f928d67486b" /><Relationship Type="http://schemas.openxmlformats.org/officeDocument/2006/relationships/worksheet" Target="/xl/worksheets/sheet6.xml" Id="R26b28472ddb74534" /><Relationship Type="http://schemas.openxmlformats.org/officeDocument/2006/relationships/worksheet" Target="/xl/worksheets/sheet7.xml" Id="R31e3c4f50436439b" /><Relationship Type="http://schemas.openxmlformats.org/officeDocument/2006/relationships/worksheet" Target="/xl/worksheets/sheet8.xml" Id="Rd3ee0f3262f04f8b" /><Relationship Type="http://schemas.openxmlformats.org/officeDocument/2006/relationships/worksheet" Target="/xl/worksheets/sheet9.xml" Id="R16d83574cd1942f0" /><Relationship Type="http://schemas.openxmlformats.org/officeDocument/2006/relationships/worksheet" Target="/xl/worksheets/sheet10.xml" Id="R0449766ba89541af" /><Relationship Type="http://schemas.openxmlformats.org/officeDocument/2006/relationships/worksheet" Target="/xl/worksheets/sheet11.xml" Id="R5daf5bae770e439c" /><Relationship Type="http://schemas.openxmlformats.org/officeDocument/2006/relationships/worksheet" Target="/xl/worksheets/sheet12.xml" Id="R042b116767994d22" /><Relationship Type="http://schemas.openxmlformats.org/officeDocument/2006/relationships/worksheet" Target="/xl/worksheets/sheet13.xml" Id="Rd81c2d43d0654191" /><Relationship Type="http://schemas.openxmlformats.org/officeDocument/2006/relationships/worksheet" Target="/xl/worksheets/sheet14.xml" Id="R52acfd6b209a41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0b96a206d545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f6689c96d9443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UI surfaces by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'Summary'!$A$5:$A$14</c:f>
              <c:strCache>
                <c:ptCount val="0"/>
              </c:strCache>
            </c:strRef>
          </c:cat>
          <c:val>
            <c:numRef>
              <c:f>'Summary'!$B$5:$B$14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Pages by product area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Pages</c:v>
          </c:tx>
          <c:cat>
            <c:strRef>
              <c:f>'Page Areas'!$A$3:$A$22</c:f>
              <c:strCache>
                <c:ptCount val="0"/>
              </c:strCache>
            </c:strRef>
          </c:cat>
          <c:val>
            <c:numRef>
              <c:f>'Page Areas'!$B$3:$B$22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0b96a206d545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6689c96d9443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gesTable" displayName="PagesTable" ref="A2:I94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alsTable" displayName="ModalsTable" ref="A2:I37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awersTable" displayName="DrawersTable" ref="A2:I12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poversTable" displayName="PopoversTable" ref="A2:I14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ertsTable" displayName="AlertsTable" ref="A2:I20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astsTable" displayName="ToastsTable" ref="A2:I18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ceptionsTable" displayName="ExceptionsTable" ref="A2:I50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atbotTable" displayName="ChatbotTable" ref="A2:I11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verlaysTable" displayName="OverlaysTable" ref="A2:I10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geStatesTable" displayName="PageStatesTable" ref="A2:I31" headerRowCount="1" totalsRowCount="0" totalsRowShown="0">
  <x:tableColumns count="9">
    <x:tableColumn id="1" name="Code"/>
    <x:tableColumn id="2" name="Name"/>
    <x:tableColumn id="3" name="Area"/>
    <x:tableColumn id="4" name="Actors"/>
    <x:tableColumn id="5" name="Origin"/>
    <x:tableColumn id="6" name="Complexity"/>
    <x:tableColumn id="7" name="Trace / Source"/>
    <x:tableColumn id="8" name="Status"/>
    <x:tableColumn id="9" name="Effort Poi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008b2a2bf24f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87a5ad601e48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88ebb3aaa48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9f448fdcc246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54759110e4a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d63226c169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eb0ab2415b46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6b9930890248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871d64c9ce45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2748a60db264f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4cf90f8c4bb4d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5d0678f283bf43e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42" hidden="0" customWidth="1"/>
    <x:col min="6" max="6" width="28" hidden="0" customWidth="1"/>
    <x:col min="7" max="7" width="12" hidden="0" customWidth="1"/>
    <x:col min="8" max="8" width="36" hidden="0" customWidth="1"/>
  </x:cols>
  <x:sheetData>
    <x:row r="1">
      <x:c r="A1" s="32" t="str">
        <x:v>Kepotret — Checkpoint 8.1 Master UI/UX Inventory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</x:row>
    <x:row r="2">
      <x:c r="A2" s="32"/>
      <x:c r="B2" s="32"/>
      <x:c r="C2" s="32"/>
      <x:c r="D2" s="32"/>
      <x:c r="E2" s="32"/>
      <x:c r="F2" s="32"/>
      <x:c r="G2" s="32"/>
      <x:c r="H2" s="32"/>
      <x:c r="I2" s="33"/>
      <x:c r="J2" s="33"/>
      <x:c r="K2" s="33"/>
      <x:c r="L2" s="33"/>
      <x:c r="M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</x:row>
    <x:row r="4">
      <x:c r="A4" s="14" t="str">
        <x:v>Surface Type</x:v>
      </x:c>
      <x:c r="B4" s="14" t="str">
        <x:v>Count</x:v>
      </x:c>
      <x:c r="C4" s="14" t="str">
        <x:v>Effort Points</x:v>
      </x:c>
      <x:c r="D4" s="14" t="str">
        <x:v>Notes</x:v>
      </x:c>
      <x:c r="E4" s="33"/>
      <x:c r="F4" s="34" t="str">
        <x:v>Frontend estimation model</x:v>
      </x:c>
      <x:c r="G4" s="34"/>
      <x:c r="H4" s="34"/>
      <x:c r="I4" s="33"/>
      <x:c r="J4" s="33"/>
      <x:c r="K4" s="33"/>
      <x:c r="L4" s="33"/>
      <x:c r="M4" s="33"/>
    </x:row>
    <x:row r="5">
      <x:c r="A5" s="33" t="str">
        <x:v>Pages</x:v>
      </x:c>
      <x:c r="B5" s="33" t="n">
        <x:f>COUNTA('Pages'!A3:A500)</x:f>
        <x:v>92</x:v>
      </x:c>
      <x:c r="C5" s="33" t="n">
        <x:f>SUM('Pages'!I2:I500)</x:f>
        <x:v>264</x:v>
      </x:c>
      <x:c r="D5" s="33" t="str">
        <x:v>Separate implementation surface; not all are standalone routes.</x:v>
      </x:c>
      <x:c r="E5" s="33"/>
      <x:c r="F5" s="14" t="str">
        <x:v>Complexity</x:v>
      </x:c>
      <x:c r="G5" s="14" t="str">
        <x:v>Weight</x:v>
      </x:c>
      <x:c r="H5" s="14" t="str">
        <x:v>Interpretation</x:v>
      </x:c>
      <x:c r="I5" s="33"/>
      <x:c r="J5" s="33"/>
      <x:c r="K5" s="33"/>
      <x:c r="L5" s="33"/>
      <x:c r="M5" s="33"/>
    </x:row>
    <x:row r="6">
      <x:c r="A6" s="33" t="str">
        <x:v>Modals</x:v>
      </x:c>
      <x:c r="B6" s="33" t="n">
        <x:f>COUNTA('Modals'!A3:A500)</x:f>
        <x:v>35</x:v>
      </x:c>
      <x:c r="C6" s="33" t="n">
        <x:f>SUM('Modals'!I2:I500)</x:f>
        <x:v>65</x:v>
      </x:c>
      <x:c r="D6" s="33" t="str">
        <x:v>Separate implementation surface; not all are standalone routes.</x:v>
      </x:c>
      <x:c r="E6" s="33"/>
      <x:c r="F6" s="33" t="str">
        <x:v>S</x:v>
      </x:c>
      <x:c r="G6" s="33" t="n">
        <x:v>1</x:v>
      </x:c>
      <x:c r="H6" s="33" t="str">
        <x:v>Small reusable</x:v>
      </x:c>
      <x:c r="I6" s="33"/>
      <x:c r="J6" s="33"/>
      <x:c r="K6" s="33"/>
      <x:c r="L6" s="33"/>
      <x:c r="M6" s="33"/>
    </x:row>
    <x:row r="7">
      <x:c r="A7" s="33" t="str">
        <x:v>Drawers</x:v>
      </x:c>
      <x:c r="B7" s="33" t="n">
        <x:f>COUNTA('Drawers'!A3:A500)</x:f>
        <x:v>10</x:v>
      </x:c>
      <x:c r="C7" s="33" t="n">
        <x:f>SUM('Drawers'!I2:I500)</x:f>
        <x:v>20</x:v>
      </x:c>
      <x:c r="D7" s="33" t="str">
        <x:v>Separate implementation surface; not all are standalone routes.</x:v>
      </x:c>
      <x:c r="E7" s="33"/>
      <x:c r="F7" s="33" t="str">
        <x:v>M</x:v>
      </x:c>
      <x:c r="G7" s="33" t="n">
        <x:v>2</x:v>
      </x:c>
      <x:c r="H7" s="33" t="str">
        <x:v>Medium</x:v>
      </x:c>
      <x:c r="I7" s="33"/>
      <x:c r="J7" s="33"/>
      <x:c r="K7" s="33"/>
      <x:c r="L7" s="33"/>
      <x:c r="M7" s="33"/>
    </x:row>
    <x:row r="8">
      <x:c r="A8" s="33" t="str">
        <x:v>Popovers</x:v>
      </x:c>
      <x:c r="B8" s="33" t="n">
        <x:f>COUNTA('Popovers'!A3:A500)</x:f>
        <x:v>12</x:v>
      </x:c>
      <x:c r="C8" s="33" t="n">
        <x:f>SUM('Popovers'!I2:I500)</x:f>
        <x:v>12</x:v>
      </x:c>
      <x:c r="D8" s="33" t="str">
        <x:v>Separate implementation surface; not all are standalone routes.</x:v>
      </x:c>
      <x:c r="E8" s="33"/>
      <x:c r="F8" s="33" t="str">
        <x:v>L</x:v>
      </x:c>
      <x:c r="G8" s="33" t="n">
        <x:v>3</x:v>
      </x:c>
      <x:c r="H8" s="33" t="str">
        <x:v>Large / workflow</x:v>
      </x:c>
      <x:c r="I8" s="33"/>
      <x:c r="J8" s="33"/>
      <x:c r="K8" s="33"/>
      <x:c r="L8" s="33"/>
      <x:c r="M8" s="33"/>
    </x:row>
    <x:row r="9">
      <x:c r="A9" s="33" t="str">
        <x:v>Alerts/Banners</x:v>
      </x:c>
      <x:c r="B9" s="33" t="n">
        <x:f>COUNTA('Alerts'!A3:A500)</x:f>
        <x:v>18</x:v>
      </x:c>
      <x:c r="C9" s="33" t="n">
        <x:f>SUM('Alerts'!I2:I500)</x:f>
        <x:v>33</x:v>
      </x:c>
      <x:c r="D9" s="33" t="str">
        <x:v>Separate implementation surface; not all are standalone routes.</x:v>
      </x:c>
      <x:c r="E9" s="33"/>
      <x:c r="F9" s="33" t="str">
        <x:v>XL</x:v>
      </x:c>
      <x:c r="G9" s="33" t="n">
        <x:v>5</x:v>
      </x:c>
      <x:c r="H9" s="33" t="str">
        <x:v>Experience-critical / complex</x:v>
      </x:c>
      <x:c r="I9" s="33"/>
      <x:c r="J9" s="33"/>
      <x:c r="K9" s="33"/>
      <x:c r="L9" s="33"/>
      <x:c r="M9" s="33"/>
    </x:row>
    <x:row r="10">
      <x:c r="A10" s="33" t="str">
        <x:v>Toasts</x:v>
      </x:c>
      <x:c r="B10" s="33" t="n">
        <x:f>COUNTA('Toasts'!A3:A500)</x:f>
        <x:v>16</x:v>
      </x:c>
      <x:c r="C10" s="33" t="n">
        <x:f>SUM('Toasts'!I2:I500)</x:f>
        <x:v>16</x:v>
      </x:c>
      <x:c r="D10" s="33" t="str">
        <x:v>Separate implementation surface; not all are standalone routes.</x:v>
      </x:c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>
      <x:c r="A11" s="33" t="str">
        <x:v>Empty/Error States</x:v>
      </x:c>
      <x:c r="B11" s="33" t="n">
        <x:f>COUNTA('Exceptions'!A3:A500)</x:f>
        <x:v>48</x:v>
      </x:c>
      <x:c r="C11" s="33" t="n">
        <x:f>SUM('Exceptions'!I2:I500)</x:f>
        <x:v>91</x:v>
      </x:c>
      <x:c r="D11" s="33" t="str">
        <x:v>Separate implementation surface; not all are standalone routes.</x:v>
      </x:c>
      <x:c r="E11" s="33"/>
      <x:c r="F11" s="34" t="str">
        <x:v>Important</x:v>
      </x:c>
      <x:c r="G11" s="34"/>
      <x:c r="H11" s="34"/>
      <x:c r="I11" s="33"/>
      <x:c r="J11" s="33"/>
      <x:c r="K11" s="33"/>
      <x:c r="L11" s="33"/>
      <x:c r="M11" s="33"/>
    </x:row>
    <x:row r="12">
      <x:c r="A12" s="33" t="str">
        <x:v>Chatbot States</x:v>
      </x:c>
      <x:c r="B12" s="33" t="n">
        <x:f>COUNTA('Chatbot'!A3:A500)</x:f>
        <x:v>9</x:v>
      </x:c>
      <x:c r="C12" s="33" t="n">
        <x:f>SUM('Chatbot'!I2:I500)</x:f>
        <x:v>16</x:v>
      </x:c>
      <x:c r="D12" s="33" t="str">
        <x:v>Separate implementation surface; not all are standalone routes.</x:v>
      </x:c>
      <x:c r="E12" s="33"/>
      <x:c r="F12" s="27" t="str">
        <x:v>Effort points are relative scope units, not calendar days.</x:v>
      </x:c>
      <x:c r="G12" s="27"/>
      <x:c r="H12" s="27"/>
      <x:c r="I12" s="33"/>
      <x:c r="J12" s="33"/>
      <x:c r="K12" s="33"/>
      <x:c r="L12" s="33"/>
      <x:c r="M12" s="33"/>
    </x:row>
    <x:row r="13">
      <x:c r="A13" s="33" t="str">
        <x:v>Overlays</x:v>
      </x:c>
      <x:c r="B13" s="33" t="n">
        <x:f>COUNTA('Overlays'!A3:A500)</x:f>
        <x:v>8</x:v>
      </x:c>
      <x:c r="C13" s="33" t="n">
        <x:f>SUM('Overlays'!I2:I500)</x:f>
        <x:v>19</x:v>
      </x:c>
      <x:c r="D13" s="33" t="str">
        <x:v>Separate implementation surface; not all are standalone routes.</x:v>
      </x:c>
      <x:c r="E13" s="33"/>
      <x:c r="F13" s="27" t="str">
        <x:v>Provider should translate points using actual velocity after design-system and responsive requirements are agreed.</x:v>
      </x:c>
      <x:c r="G13" s="27"/>
      <x:c r="H13" s="27"/>
      <x:c r="I13" s="33"/>
      <x:c r="J13" s="33"/>
      <x:c r="K13" s="33"/>
      <x:c r="L13" s="33"/>
      <x:c r="M13" s="33"/>
    </x:row>
    <x:row r="14">
      <x:c r="A14" s="33" t="str">
        <x:v>Page State Variants</x:v>
      </x:c>
      <x:c r="B14" s="33" t="n">
        <x:f>COUNTA('Page States'!A3:A500)</x:f>
        <x:v>29</x:v>
      </x:c>
      <x:c r="C14" s="33" t="n">
        <x:f>SUM('Page States'!I2:I500)</x:f>
        <x:v>39</x:v>
      </x:c>
      <x:c r="D14" s="33" t="str">
        <x:v>Separate implementation surface; not all are standalone routes.</x:v>
      </x:c>
      <x:c r="E14" s="33"/>
      <x:c r="F14" s="27" t="str">
        <x:v>UX-derived items do not change locked business/data rules unless a later design introduces a real product change.</x:v>
      </x:c>
      <x:c r="G14" s="27"/>
      <x:c r="H14" s="27"/>
      <x:c r="I14" s="33"/>
      <x:c r="J14" s="33"/>
      <x:c r="K14" s="33"/>
      <x:c r="L14" s="33"/>
      <x:c r="M14" s="33"/>
    </x:row>
    <x:row r="15">
      <x:c r="A15" s="34" t="str">
        <x:v>TOTAL UI SURFACES</x:v>
      </x:c>
      <x:c r="B15" s="34" t="n">
        <x:f>SUM(B5:B14)</x:f>
        <x:v>277</x:v>
      </x:c>
      <x:c r="C15" s="34" t="n">
        <x:f>SUM(C5:C14)</x:f>
        <x:v>575</x:v>
      </x:c>
      <x:c r="D15" s="34" t="str">
        <x:v>Includes page-state variants.</x:v>
      </x:c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</x:row>
  </x:sheetData>
  <x:mergeCells>
    <x:mergeCell ref="A1:H2"/>
    <x:mergeCell ref="F4:H4"/>
    <x:mergeCell ref="F11:H11"/>
    <x:mergeCell ref="F12:H12"/>
    <x:mergeCell ref="F13:H13"/>
    <x:mergeCell ref="F14:H14"/>
  </x:mergeCells>
  <x:pageMargins left="0.7" right="0.7" top="0.75" bottom="0.75" header="0.3" footer="0.3"/>
  <x:drawing xmlns:r="http://schemas.openxmlformats.org/officeDocument/2006/relationships" r:id="Rd4008b2a2bf24f3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Pages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H01</x:v>
      </x:c>
      <x:c r="B3" s="38" t="str">
        <x:v>Landing Page</x:v>
      </x:c>
      <x:c r="C3" s="38" t="str">
        <x:v>Public</x:v>
      </x:c>
      <x:c r="D3" s="38" t="str">
        <x:v>Public</x:v>
      </x:c>
      <x:c r="E3" s="38" t="str">
        <x:v>UX-DERIVED</x:v>
      </x:c>
      <x:c r="F3" s="38" t="str">
        <x:v>XL</x:v>
      </x:c>
      <x:c r="G3" s="38" t="str">
        <x:v>PRD Product Summary; UC-23</x:v>
      </x:c>
      <x:c r="H3" s="38" t="str">
        <x:v>PROPOSED 8.1</x:v>
      </x:c>
      <x:c r="I3" s="38" t="n">
        <x:f>IF(F3="S",1,IF(F3="M",2,IF(F3="L",3,IF(F3="XL",5,0))))</x:f>
        <x:v>5</x:v>
      </x:c>
    </x:row>
    <x:row r="4">
      <x:c r="A4" s="38" t="str">
        <x:v>H02</x:v>
      </x:c>
      <x:c r="B4" s="38" t="str">
        <x:v>How Kepotret Works</x:v>
      </x:c>
      <x:c r="C4" s="38" t="str">
        <x:v>Public</x:v>
      </x:c>
      <x:c r="D4" s="38" t="str">
        <x:v>Public</x:v>
      </x:c>
      <x:c r="E4" s="38" t="str">
        <x:v>UX-DERIVED</x:v>
      </x:c>
      <x:c r="F4" s="38" t="str">
        <x:v>M</x:v>
      </x:c>
      <x:c r="G4" s="38" t="str">
        <x:v>PRD Product Summary</x:v>
      </x:c>
      <x:c r="H4" s="38" t="str">
        <x:v>PROPOSED 8.1</x:v>
      </x:c>
      <x:c r="I4" s="38" t="n">
        <x:f>IF(F4="S",1,IF(F4="M",2,IF(F4="L",3,IF(F4="XL",5,0))))</x:f>
        <x:v>2</x:v>
      </x:c>
    </x:row>
    <x:row r="5">
      <x:c r="A5" s="38" t="str">
        <x:v>H03</x:v>
      </x:c>
      <x:c r="B5" s="38" t="str">
        <x:v>Packages &amp; Pricing</x:v>
      </x:c>
      <x:c r="C5" s="38" t="str">
        <x:v>Public</x:v>
      </x:c>
      <x:c r="D5" s="38" t="str">
        <x:v>Public / Host</x:v>
      </x:c>
      <x:c r="E5" s="38" t="str">
        <x:v>UX-DERIVED + LOCKED DATA</x:v>
      </x:c>
      <x:c r="F5" s="38" t="str">
        <x:v>L</x:v>
      </x:c>
      <x:c r="G5" s="38" t="str">
        <x:v>FR-17/17A; UC-06/07/17</x:v>
      </x:c>
      <x:c r="H5" s="38" t="str">
        <x:v>PROPOSED 8.1</x:v>
      </x:c>
      <x:c r="I5" s="38" t="n">
        <x:f>IF(F5="S",1,IF(F5="M",2,IF(F5="L",3,IF(F5="XL",5,0))))</x:f>
        <x:v>3</x:v>
      </x:c>
    </x:row>
    <x:row r="6">
      <x:c r="A6" s="38" t="str">
        <x:v>H04</x:v>
      </x:c>
      <x:c r="B6" s="38" t="str">
        <x:v>FAQ</x:v>
      </x:c>
      <x:c r="C6" s="38" t="str">
        <x:v>Public</x:v>
      </x:c>
      <x:c r="D6" s="38" t="str">
        <x:v>Public</x:v>
      </x:c>
      <x:c r="E6" s="38" t="str">
        <x:v>UX-DERIVED</x:v>
      </x:c>
      <x:c r="F6" s="38" t="str">
        <x:v>M</x:v>
      </x:c>
      <x:c r="G6" s="38" t="str">
        <x:v>Support UX</x:v>
      </x:c>
      <x:c r="H6" s="38" t="str">
        <x:v>PROPOSED 8.1</x:v>
      </x:c>
      <x:c r="I6" s="38" t="n">
        <x:f>IF(F6="S",1,IF(F6="M",2,IF(F6="L",3,IF(F6="XL",5,0))))</x:f>
        <x:v>2</x:v>
      </x:c>
    </x:row>
    <x:row r="7">
      <x:c r="A7" s="38" t="str">
        <x:v>H05</x:v>
      </x:c>
      <x:c r="B7" s="38" t="str">
        <x:v>Help &amp; Contact</x:v>
      </x:c>
      <x:c r="C7" s="38" t="str">
        <x:v>Public</x:v>
      </x:c>
      <x:c r="D7" s="38" t="str">
        <x:v>Public / All</x:v>
      </x:c>
      <x:c r="E7" s="38" t="str">
        <x:v>UX-DERIVED</x:v>
      </x:c>
      <x:c r="F7" s="38" t="str">
        <x:v>M</x:v>
      </x:c>
      <x:c r="G7" s="38" t="str">
        <x:v>Operational support</x:v>
      </x:c>
      <x:c r="H7" s="38" t="str">
        <x:v>PROPOSED 8.1</x:v>
      </x:c>
      <x:c r="I7" s="38" t="n">
        <x:f>IF(F7="S",1,IF(F7="M",2,IF(F7="L",3,IF(F7="XL",5,0))))</x:f>
        <x:v>2</x:v>
      </x:c>
    </x:row>
    <x:row r="8">
      <x:c r="A8" s="38" t="str">
        <x:v>H06</x:v>
      </x:c>
      <x:c r="B8" s="38" t="str">
        <x:v>Privacy Policy</x:v>
      </x:c>
      <x:c r="C8" s="38" t="str">
        <x:v>Public</x:v>
      </x:c>
      <x:c r="D8" s="38" t="str">
        <x:v>Public</x:v>
      </x:c>
      <x:c r="E8" s="38" t="str">
        <x:v>UX-DERIVED</x:v>
      </x:c>
      <x:c r="F8" s="38" t="str">
        <x:v>S</x:v>
      </x:c>
      <x:c r="G8" s="38" t="str">
        <x:v>NFR-02</x:v>
      </x:c>
      <x:c r="H8" s="38" t="str">
        <x:v>PROPOSED 8.1</x:v>
      </x:c>
      <x:c r="I8" s="38" t="n">
        <x:f>IF(F8="S",1,IF(F8="M",2,IF(F8="L",3,IF(F8="XL",5,0))))</x:f>
        <x:v>1</x:v>
      </x:c>
    </x:row>
    <x:row r="9">
      <x:c r="A9" s="38" t="str">
        <x:v>H07</x:v>
      </x:c>
      <x:c r="B9" s="38" t="str">
        <x:v>Terms of Service</x:v>
      </x:c>
      <x:c r="C9" s="38" t="str">
        <x:v>Public</x:v>
      </x:c>
      <x:c r="D9" s="38" t="str">
        <x:v>Public</x:v>
      </x:c>
      <x:c r="E9" s="38" t="str">
        <x:v>UX-DERIVED</x:v>
      </x:c>
      <x:c r="F9" s="38" t="str">
        <x:v>S</x:v>
      </x:c>
      <x:c r="G9" s="38" t="str">
        <x:v>PRD V1 scope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H08</x:v>
      </x:c>
      <x:c r="B10" s="38" t="str">
        <x:v>Security &amp; Privacy Overview</x:v>
      </x:c>
      <x:c r="C10" s="38" t="str">
        <x:v>Public</x:v>
      </x:c>
      <x:c r="D10" s="38" t="str">
        <x:v>Public</x:v>
      </x:c>
      <x:c r="E10" s="38" t="str">
        <x:v>UX-DERIVED</x:v>
      </x:c>
      <x:c r="F10" s="38" t="str">
        <x:v>M</x:v>
      </x:c>
      <x:c r="G10" s="38" t="str">
        <x:v>NFR-01/02</x:v>
      </x:c>
      <x:c r="H10" s="38" t="str">
        <x:v>PROPOSED 8.1</x:v>
      </x:c>
      <x:c r="I10" s="38" t="n">
        <x:f>IF(F10="S",1,IF(F10="M",2,IF(F10="L",3,IF(F10="XL",5,0))))</x:f>
        <x:v>2</x:v>
      </x:c>
    </x:row>
    <x:row r="11">
      <x:c r="A11" s="38" t="str">
        <x:v>H09</x:v>
      </x:c>
      <x:c r="B11" s="38" t="str">
        <x:v>404 — Page Not Found</x:v>
      </x:c>
      <x:c r="C11" s="38" t="str">
        <x:v>System</x:v>
      </x:c>
      <x:c r="D11" s="38" t="str">
        <x:v>All</x:v>
      </x:c>
      <x:c r="E11" s="38" t="str">
        <x:v>UX-DERIVED</x:v>
      </x:c>
      <x:c r="F11" s="38" t="str">
        <x:v>S</x:v>
      </x:c>
      <x:c r="G11" s="38" t="str">
        <x:v>Professional web baseline</x:v>
      </x:c>
      <x:c r="H11" s="38" t="str">
        <x:v>PROPOSED 8.1</x:v>
      </x:c>
      <x:c r="I11" s="38" t="n">
        <x:f>IF(F11="S",1,IF(F11="M",2,IF(F11="L",3,IF(F11="XL",5,0))))</x:f>
        <x:v>1</x:v>
      </x:c>
    </x:row>
    <x:row r="12">
      <x:c r="A12" s="38" t="str">
        <x:v>H10</x:v>
      </x:c>
      <x:c r="B12" s="38" t="str">
        <x:v>403 — Access Denied</x:v>
      </x:c>
      <x:c r="C12" s="38" t="str">
        <x:v>System</x:v>
      </x:c>
      <x:c r="D12" s="38" t="str">
        <x:v>Authenticated actors</x:v>
      </x:c>
      <x:c r="E12" s="38" t="str">
        <x:v>UX-DERIVED</x:v>
      </x:c>
      <x:c r="F12" s="38" t="str">
        <x:v>S</x:v>
      </x:c>
      <x:c r="G12" s="38" t="str">
        <x:v>NFR-01; Permission Model</x:v>
      </x:c>
      <x:c r="H12" s="38" t="str">
        <x:v>PROPOSED 8.1</x:v>
      </x:c>
      <x:c r="I12" s="38" t="n">
        <x:f>IF(F12="S",1,IF(F12="M",2,IF(F12="L",3,IF(F12="XL",5,0))))</x:f>
        <x:v>1</x:v>
      </x:c>
    </x:row>
    <x:row r="13">
      <x:c r="A13" s="38" t="str">
        <x:v>H11</x:v>
      </x:c>
      <x:c r="B13" s="38" t="str">
        <x:v>500 — Internal Error</x:v>
      </x:c>
      <x:c r="C13" s="38" t="str">
        <x:v>System</x:v>
      </x:c>
      <x:c r="D13" s="38" t="str">
        <x:v>All</x:v>
      </x:c>
      <x:c r="E13" s="38" t="str">
        <x:v>UX-DERIVED</x:v>
      </x:c>
      <x:c r="F13" s="38" t="str">
        <x:v>S</x:v>
      </x:c>
      <x:c r="G13" s="38" t="str">
        <x:v>NFR-04/06</x:v>
      </x:c>
      <x:c r="H13" s="38" t="str">
        <x:v>PROPOSED 8.1</x:v>
      </x:c>
      <x:c r="I13" s="38" t="n">
        <x:f>IF(F13="S",1,IF(F13="M",2,IF(F13="L",3,IF(F13="XL",5,0))))</x:f>
        <x:v>1</x:v>
      </x:c>
    </x:row>
    <x:row r="14">
      <x:c r="A14" s="38" t="str">
        <x:v>H12</x:v>
      </x:c>
      <x:c r="B14" s="38" t="str">
        <x:v>503 — Maintenance / Service Unavailable</x:v>
      </x:c>
      <x:c r="C14" s="38" t="str">
        <x:v>System</x:v>
      </x:c>
      <x:c r="D14" s="38" t="str">
        <x:v>All</x:v>
      </x:c>
      <x:c r="E14" s="38" t="str">
        <x:v>UX-DERIVED</x:v>
      </x:c>
      <x:c r="F14" s="38" t="str">
        <x:v>S</x:v>
      </x:c>
      <x:c r="G14" s="38" t="str">
        <x:v>NFR-06</x:v>
      </x:c>
      <x:c r="H14" s="38" t="str">
        <x:v>PROPOSED 8.1</x:v>
      </x:c>
      <x:c r="I14" s="38" t="n">
        <x:f>IF(F14="S",1,IF(F14="M",2,IF(F14="L",3,IF(F14="XL",5,0))))</x:f>
        <x:v>1</x:v>
      </x:c>
    </x:row>
    <x:row r="15">
      <x:c r="A15" s="38" t="str">
        <x:v>H13</x:v>
      </x:c>
      <x:c r="B15" s="38" t="str">
        <x:v>Browser &amp; Device Compatibility Help</x:v>
      </x:c>
      <x:c r="C15" s="38" t="str">
        <x:v>System</x:v>
      </x:c>
      <x:c r="D15" s="38" t="str">
        <x:v>Guest / Host</x:v>
      </x:c>
      <x:c r="E15" s="38" t="str">
        <x:v>UX-DERIVED</x:v>
      </x:c>
      <x:c r="F15" s="38" t="str">
        <x:v>M</x:v>
      </x:c>
      <x:c r="G15" s="38" t="str">
        <x:v>NFR-05; UC-10</x:v>
      </x:c>
      <x:c r="H15" s="38" t="str">
        <x:v>PROPOSED 8.1</x:v>
      </x:c>
      <x:c r="I15" s="38" t="n">
        <x:f>IF(F15="S",1,IF(F15="M",2,IF(F15="L",3,IF(F15="XL",5,0))))</x:f>
        <x:v>2</x:v>
      </x:c>
    </x:row>
    <x:row r="16">
      <x:c r="A16" s="38" t="str">
        <x:v>H14</x:v>
      </x:c>
      <x:c r="B16" s="38" t="str">
        <x:v>User Sign-In</x:v>
      </x:c>
      <x:c r="C16" s="38" t="str">
        <x:v>Auth</x:v>
      </x:c>
      <x:c r="D16" s="38" t="str">
        <x:v>Host / WO/EO</x:v>
      </x:c>
      <x:c r="E16" s="38" t="str">
        <x:v>LOCKED</x:v>
      </x:c>
      <x:c r="F16" s="38" t="str">
        <x:v>M</x:v>
      </x:c>
      <x:c r="G16" s="38" t="str">
        <x:v>UC-01; API Auth</x:v>
      </x:c>
      <x:c r="H16" s="38" t="str">
        <x:v>PROPOSED 8.1</x:v>
      </x:c>
      <x:c r="I16" s="38" t="n">
        <x:f>IF(F16="S",1,IF(F16="M",2,IF(F16="L",3,IF(F16="XL",5,0))))</x:f>
        <x:v>2</x:v>
      </x:c>
    </x:row>
    <x:row r="17">
      <x:c r="A17" s="38" t="str">
        <x:v>H15</x:v>
      </x:c>
      <x:c r="B17" s="38" t="str">
        <x:v>Google OAuth Processing</x:v>
      </x:c>
      <x:c r="C17" s="38" t="str">
        <x:v>Auth</x:v>
      </x:c>
      <x:c r="D17" s="38" t="str">
        <x:v>Host / WO/EO</x:v>
      </x:c>
      <x:c r="E17" s="38" t="str">
        <x:v>UX-DERIVED</x:v>
      </x:c>
      <x:c r="F17" s="38" t="str">
        <x:v>S</x:v>
      </x:c>
      <x:c r="G17" s="38" t="str">
        <x:v>UC-01</x:v>
      </x:c>
      <x:c r="H17" s="38" t="str">
        <x:v>PROPOSED 8.1</x:v>
      </x:c>
      <x:c r="I17" s="38" t="n">
        <x:f>IF(F17="S",1,IF(F17="M",2,IF(F17="L",3,IF(F17="XL",5,0))))</x:f>
        <x:v>1</x:v>
      </x:c>
    </x:row>
    <x:row r="18">
      <x:c r="A18" s="38" t="str">
        <x:v>H16</x:v>
      </x:c>
      <x:c r="B18" s="38" t="str">
        <x:v>Google Sign-In Failed</x:v>
      </x:c>
      <x:c r="C18" s="38" t="str">
        <x:v>Auth</x:v>
      </x:c>
      <x:c r="D18" s="38" t="str">
        <x:v>Host / WO/EO</x:v>
      </x:c>
      <x:c r="E18" s="38" t="str">
        <x:v>UX-DERIVED</x:v>
      </x:c>
      <x:c r="F18" s="38" t="str">
        <x:v>S</x:v>
      </x:c>
      <x:c r="G18" s="38" t="str">
        <x:v>UC-01 extension</x:v>
      </x:c>
      <x:c r="H18" s="38" t="str">
        <x:v>PROPOSED 8.1</x:v>
      </x:c>
      <x:c r="I18" s="38" t="n">
        <x:f>IF(F18="S",1,IF(F18="M",2,IF(F18="L",3,IF(F18="XL",5,0))))</x:f>
        <x:v>1</x:v>
      </x:c>
    </x:row>
    <x:row r="19">
      <x:c r="A19" s="38" t="str">
        <x:v>H17</x:v>
      </x:c>
      <x:c r="B19" s="38" t="str">
        <x:v>Collaborator Invitation Landing</x:v>
      </x:c>
      <x:c r="C19" s="38" t="str">
        <x:v>Auth/Collaboration</x:v>
      </x:c>
      <x:c r="D19" s="38" t="str">
        <x:v>WO/EO</x:v>
      </x:c>
      <x:c r="E19" s="38" t="str">
        <x:v>LOCKED</x:v>
      </x:c>
      <x:c r="F19" s="38" t="str">
        <x:v>M</x:v>
      </x:c>
      <x:c r="G19" s="38" t="str">
        <x:v>UC-04</x:v>
      </x:c>
      <x:c r="H19" s="38" t="str">
        <x:v>PROPOSED 8.1</x:v>
      </x:c>
      <x:c r="I19" s="38" t="n">
        <x:f>IF(F19="S",1,IF(F19="M",2,IF(F19="L",3,IF(F19="XL",5,0))))</x:f>
        <x:v>2</x:v>
      </x:c>
    </x:row>
    <x:row r="20">
      <x:c r="A20" s="38" t="str">
        <x:v>H18</x:v>
      </x:c>
      <x:c r="B20" s="38" t="str">
        <x:v>Invitation Invalid / Expired / Used</x:v>
      </x:c>
      <x:c r="C20" s="38" t="str">
        <x:v>Auth/Collaboration</x:v>
      </x:c>
      <x:c r="D20" s="38" t="str">
        <x:v>WO/EO</x:v>
      </x:c>
      <x:c r="E20" s="38" t="str">
        <x:v>UX-DERIVED</x:v>
      </x:c>
      <x:c r="F20" s="38" t="str">
        <x:v>S</x:v>
      </x:c>
      <x:c r="G20" s="38" t="str">
        <x:v>UC-04 extension</x:v>
      </x:c>
      <x:c r="H20" s="38" t="str">
        <x:v>PROPOSED 8.1</x:v>
      </x:c>
      <x:c r="I20" s="38" t="n">
        <x:f>IF(F20="S",1,IF(F20="M",2,IF(F20="L",3,IF(F20="XL",5,0))))</x:f>
        <x:v>1</x:v>
      </x:c>
    </x:row>
    <x:row r="21">
      <x:c r="A21" s="38" t="str">
        <x:v>H19</x:v>
      </x:c>
      <x:c r="B21" s="38" t="str">
        <x:v>Account / Profile</x:v>
      </x:c>
      <x:c r="C21" s="38" t="str">
        <x:v>Account</x:v>
      </x:c>
      <x:c r="D21" s="38" t="str">
        <x:v>Host / WO/EO</x:v>
      </x:c>
      <x:c r="E21" s="38" t="str">
        <x:v>UX-DERIVED</x:v>
      </x:c>
      <x:c r="F21" s="38" t="str">
        <x:v>M</x:v>
      </x:c>
      <x:c r="G21" s="38" t="str">
        <x:v>UC-01; UC-24</x:v>
      </x:c>
      <x:c r="H21" s="38" t="str">
        <x:v>PROPOSED 8.1</x:v>
      </x:c>
      <x:c r="I21" s="38" t="n">
        <x:f>IF(F21="S",1,IF(F21="M",2,IF(F21="L",3,IF(F21="XL",5,0))))</x:f>
        <x:v>2</x:v>
      </x:c>
    </x:row>
    <x:row r="22">
      <x:c r="A22" s="38" t="str">
        <x:v>H20</x:v>
      </x:c>
      <x:c r="B22" s="38" t="str">
        <x:v>Superadmin Login</x:v>
      </x:c>
      <x:c r="C22" s="38" t="str">
        <x:v>Admin Auth</x:v>
      </x:c>
      <x:c r="D22" s="38" t="str">
        <x:v>Superadmin</x:v>
      </x:c>
      <x:c r="E22" s="38" t="str">
        <x:v>LOCKED</x:v>
      </x:c>
      <x:c r="F22" s="38" t="str">
        <x:v>M</x:v>
      </x:c>
      <x:c r="G22" s="38" t="str">
        <x:v>UC-25</x:v>
      </x:c>
      <x:c r="H22" s="38" t="str">
        <x:v>PROPOSED 8.1</x:v>
      </x:c>
      <x:c r="I22" s="38" t="n">
        <x:f>IF(F22="S",1,IF(F22="M",2,IF(F22="L",3,IF(F22="XL",5,0))))</x:f>
        <x:v>2</x:v>
      </x:c>
    </x:row>
    <x:row r="23">
      <x:c r="A23" s="38" t="str">
        <x:v>H21</x:v>
      </x:c>
      <x:c r="B23" s="38" t="str">
        <x:v>Superadmin MFA Verification</x:v>
      </x:c>
      <x:c r="C23" s="38" t="str">
        <x:v>Admin Auth</x:v>
      </x:c>
      <x:c r="D23" s="38" t="str">
        <x:v>Superadmin</x:v>
      </x:c>
      <x:c r="E23" s="38" t="str">
        <x:v>LOCKED</x:v>
      </x:c>
      <x:c r="F23" s="38" t="str">
        <x:v>M</x:v>
      </x:c>
      <x:c r="G23" s="38" t="str">
        <x:v>UC-25</x:v>
      </x:c>
      <x:c r="H23" s="38" t="str">
        <x:v>PROPOSED 8.1</x:v>
      </x:c>
      <x:c r="I23" s="38" t="n">
        <x:f>IF(F23="S",1,IF(F23="M",2,IF(F23="L",3,IF(F23="XL",5,0))))</x:f>
        <x:v>2</x:v>
      </x:c>
    </x:row>
    <x:row r="24">
      <x:c r="A24" s="38" t="str">
        <x:v>H22</x:v>
      </x:c>
      <x:c r="B24" s="38" t="str">
        <x:v>Superadmin Access Locked / Denied</x:v>
      </x:c>
      <x:c r="C24" s="38" t="str">
        <x:v>Admin Auth</x:v>
      </x:c>
      <x:c r="D24" s="38" t="str">
        <x:v>Superadmin</x:v>
      </x:c>
      <x:c r="E24" s="38" t="str">
        <x:v>UX-DERIVED</x:v>
      </x:c>
      <x:c r="F24" s="38" t="str">
        <x:v>S</x:v>
      </x:c>
      <x:c r="G24" s="38" t="str">
        <x:v>UC-25 extension</x:v>
      </x:c>
      <x:c r="H24" s="38" t="str">
        <x:v>PROPOSED 8.1</x:v>
      </x:c>
      <x:c r="I24" s="38" t="n">
        <x:f>IF(F24="S",1,IF(F24="M",2,IF(F24="L",3,IF(F24="XL",5,0))))</x:f>
        <x:v>1</x:v>
      </x:c>
    </x:row>
    <x:row r="25">
      <x:c r="A25" s="38" t="str">
        <x:v>H23</x:v>
      </x:c>
      <x:c r="B25" s="38" t="str">
        <x:v>Session Re-authentication</x:v>
      </x:c>
      <x:c r="C25" s="38" t="str">
        <x:v>Auth</x:v>
      </x:c>
      <x:c r="D25" s="38" t="str">
        <x:v>Host / WO/EO / Superadmin</x:v>
      </x:c>
      <x:c r="E25" s="38" t="str">
        <x:v>UX-DERIVED</x:v>
      </x:c>
      <x:c r="F25" s="38" t="str">
        <x:v>S</x:v>
      </x:c>
      <x:c r="G25" s="38" t="str">
        <x:v>NFR-01</x:v>
      </x:c>
      <x:c r="H25" s="38" t="str">
        <x:v>PROPOSED 8.1</x:v>
      </x:c>
      <x:c r="I25" s="38" t="n">
        <x:f>IF(F25="S",1,IF(F25="M",2,IF(F25="L",3,IF(F25="XL",5,0))))</x:f>
        <x:v>1</x:v>
      </x:c>
    </x:row>
    <x:row r="26">
      <x:c r="A26" s="38" t="str">
        <x:v>H24</x:v>
      </x:c>
      <x:c r="B26" s="38" t="str">
        <x:v>Host Dashboard</x:v>
      </x:c>
      <x:c r="C26" s="38" t="str">
        <x:v>Host</x:v>
      </x:c>
      <x:c r="D26" s="38" t="str">
        <x:v>Host</x:v>
      </x:c>
      <x:c r="E26" s="38" t="str">
        <x:v>LOCKED</x:v>
      </x:c>
      <x:c r="F26" s="38" t="str">
        <x:v>XL</x:v>
      </x:c>
      <x:c r="G26" s="38" t="str">
        <x:v>FR-19; UC-21</x:v>
      </x:c>
      <x:c r="H26" s="38" t="str">
        <x:v>PROPOSED 8.1</x:v>
      </x:c>
      <x:c r="I26" s="38" t="n">
        <x:f>IF(F26="S",1,IF(F26="M",2,IF(F26="L",3,IF(F26="XL",5,0))))</x:f>
        <x:v>5</x:v>
      </x:c>
    </x:row>
    <x:row r="27">
      <x:c r="A27" s="38" t="str">
        <x:v>H25</x:v>
      </x:c>
      <x:c r="B27" s="38" t="str">
        <x:v>My Albums</x:v>
      </x:c>
      <x:c r="C27" s="38" t="str">
        <x:v>Host</x:v>
      </x:c>
      <x:c r="D27" s="38" t="str">
        <x:v>Host</x:v>
      </x:c>
      <x:c r="E27" s="38" t="str">
        <x:v>LOCKED</x:v>
      </x:c>
      <x:c r="F27" s="38" t="str">
        <x:v>L</x:v>
      </x:c>
      <x:c r="G27" s="38" t="str">
        <x:v>UC-21</x:v>
      </x:c>
      <x:c r="H27" s="38" t="str">
        <x:v>PROPOSED 8.1</x:v>
      </x:c>
      <x:c r="I27" s="38" t="n">
        <x:f>IF(F27="S",1,IF(F27="M",2,IF(F27="L",3,IF(F27="XL",5,0))))</x:f>
        <x:v>3</x:v>
      </x:c>
    </x:row>
    <x:row r="28">
      <x:c r="A28" s="38" t="str">
        <x:v>H26</x:v>
      </x:c>
      <x:c r="B28" s="38" t="str">
        <x:v>Create Album</x:v>
      </x:c>
      <x:c r="C28" s="38" t="str">
        <x:v>Host</x:v>
      </x:c>
      <x:c r="D28" s="38" t="str">
        <x:v>Host</x:v>
      </x:c>
      <x:c r="E28" s="38" t="str">
        <x:v>LOCKED</x:v>
      </x:c>
      <x:c r="F28" s="38" t="str">
        <x:v>M</x:v>
      </x:c>
      <x:c r="G28" s="38" t="str">
        <x:v>UC-02</x:v>
      </x:c>
      <x:c r="H28" s="38" t="str">
        <x:v>PROPOSED 8.1</x:v>
      </x:c>
      <x:c r="I28" s="38" t="n">
        <x:f>IF(F28="S",1,IF(F28="M",2,IF(F28="L",3,IF(F28="XL",5,0))))</x:f>
        <x:v>2</x:v>
      </x:c>
    </x:row>
    <x:row r="29">
      <x:c r="A29" s="38" t="str">
        <x:v>H27</x:v>
      </x:c>
      <x:c r="B29" s="38" t="str">
        <x:v>Album Workspace Overview</x:v>
      </x:c>
      <x:c r="C29" s="38" t="str">
        <x:v>Host</x:v>
      </x:c>
      <x:c r="D29" s="38" t="str">
        <x:v>Host</x:v>
      </x:c>
      <x:c r="E29" s="38" t="str">
        <x:v>LOCKED</x:v>
      </x:c>
      <x:c r="F29" s="38" t="str">
        <x:v>XL</x:v>
      </x:c>
      <x:c r="G29" s="38" t="str">
        <x:v>UC-21</x:v>
      </x:c>
      <x:c r="H29" s="38" t="str">
        <x:v>PROPOSED 8.1</x:v>
      </x:c>
      <x:c r="I29" s="38" t="n">
        <x:f>IF(F29="S",1,IF(F29="M",2,IF(F29="L",3,IF(F29="XL",5,0))))</x:f>
        <x:v>5</x:v>
      </x:c>
    </x:row>
    <x:row r="30">
      <x:c r="A30" s="38" t="str">
        <x:v>H28</x:v>
      </x:c>
      <x:c r="B30" s="38" t="str">
        <x:v>Setup — Event Basics</x:v>
      </x:c>
      <x:c r="C30" s="38" t="str">
        <x:v>Album Setup</x:v>
      </x:c>
      <x:c r="D30" s="38" t="str">
        <x:v>Host / can_setup</x:v>
      </x:c>
      <x:c r="E30" s="38" t="str">
        <x:v>LOCKED</x:v>
      </x:c>
      <x:c r="F30" s="38" t="str">
        <x:v>L</x:v>
      </x:c>
      <x:c r="G30" s="38" t="str">
        <x:v>UC-03</x:v>
      </x:c>
      <x:c r="H30" s="38" t="str">
        <x:v>PROPOSED 8.1</x:v>
      </x:c>
      <x:c r="I30" s="38" t="n">
        <x:f>IF(F30="S",1,IF(F30="M",2,IF(F30="L",3,IF(F30="XL",5,0))))</x:f>
        <x:v>3</x:v>
      </x:c>
    </x:row>
    <x:row r="31">
      <x:c r="A31" s="38" t="str">
        <x:v>H29</x:v>
      </x:c>
      <x:c r="B31" s="38" t="str">
        <x:v>Setup — Schedule &amp; Reveal</x:v>
      </x:c>
      <x:c r="C31" s="38" t="str">
        <x:v>Album Setup</x:v>
      </x:c>
      <x:c r="D31" s="38" t="str">
        <x:v>Host / can_setup</x:v>
      </x:c>
      <x:c r="E31" s="38" t="str">
        <x:v>LOCKED</x:v>
      </x:c>
      <x:c r="F31" s="38" t="str">
        <x:v>L</x:v>
      </x:c>
      <x:c r="G31" s="38" t="str">
        <x:v>UC-03; UC-19</x:v>
      </x:c>
      <x:c r="H31" s="38" t="str">
        <x:v>PROPOSED 8.1</x:v>
      </x:c>
      <x:c r="I31" s="38" t="n">
        <x:f>IF(F31="S",1,IF(F31="M",2,IF(F31="L",3,IF(F31="XL",5,0))))</x:f>
        <x:v>3</x:v>
      </x:c>
    </x:row>
    <x:row r="32">
      <x:c r="A32" s="38" t="str">
        <x:v>H30</x:v>
      </x:c>
      <x:c r="B32" s="38" t="str">
        <x:v>Setup — Guest Access &amp; Privacy</x:v>
      </x:c>
      <x:c r="C32" s="38" t="str">
        <x:v>Album Setup</x:v>
      </x:c>
      <x:c r="D32" s="38" t="str">
        <x:v>Host / can_setup</x:v>
      </x:c>
      <x:c r="E32" s="38" t="str">
        <x:v>LOCKED</x:v>
      </x:c>
      <x:c r="F32" s="38" t="str">
        <x:v>L</x:v>
      </x:c>
      <x:c r="G32" s="38" t="str">
        <x:v>UC-03; UC-09</x:v>
      </x:c>
      <x:c r="H32" s="38" t="str">
        <x:v>PROPOSED 8.1</x:v>
      </x:c>
      <x:c r="I32" s="38" t="n">
        <x:f>IF(F32="S",1,IF(F32="M",2,IF(F32="L",3,IF(F32="XL",5,0))))</x:f>
        <x:v>3</x:v>
      </x:c>
    </x:row>
    <x:row r="33">
      <x:c r="A33" s="38" t="str">
        <x:v>H31</x:v>
      </x:c>
      <x:c r="B33" s="38" t="str">
        <x:v>Setup — Guest Limit &amp; Moderation</x:v>
      </x:c>
      <x:c r="C33" s="38" t="str">
        <x:v>Album Setup</x:v>
      </x:c>
      <x:c r="D33" s="38" t="str">
        <x:v>Host / can_setup</x:v>
      </x:c>
      <x:c r="E33" s="38" t="str">
        <x:v>LOCKED</x:v>
      </x:c>
      <x:c r="F33" s="38" t="str">
        <x:v>L</x:v>
      </x:c>
      <x:c r="G33" s="38" t="str">
        <x:v>UC-03</x:v>
      </x:c>
      <x:c r="H33" s="38" t="str">
        <x:v>PROPOSED 8.1</x:v>
      </x:c>
      <x:c r="I33" s="38" t="n">
        <x:f>IF(F33="S",1,IF(F33="M",2,IF(F33="L",3,IF(F33="XL",5,0))))</x:f>
        <x:v>3</x:v>
      </x:c>
    </x:row>
    <x:row r="34">
      <x:c r="A34" s="38" t="str">
        <x:v>H32</x:v>
      </x:c>
      <x:c r="B34" s="38" t="str">
        <x:v>Setup — Design &amp; Branding</x:v>
      </x:c>
      <x:c r="C34" s="38" t="str">
        <x:v>Album Setup</x:v>
      </x:c>
      <x:c r="D34" s="38" t="str">
        <x:v>Host / can_setup</x:v>
      </x:c>
      <x:c r="E34" s="38" t="str">
        <x:v>LOCKED</x:v>
      </x:c>
      <x:c r="F34" s="38" t="str">
        <x:v>XL</x:v>
      </x:c>
      <x:c r="G34" s="38" t="str">
        <x:v>UC-03</x:v>
      </x:c>
      <x:c r="H34" s="38" t="str">
        <x:v>PROPOSED 8.1</x:v>
      </x:c>
      <x:c r="I34" s="38" t="n">
        <x:f>IF(F34="S",1,IF(F34="M",2,IF(F34="L",3,IF(F34="XL",5,0))))</x:f>
        <x:v>5</x:v>
      </x:c>
    </x:row>
    <x:row r="35">
      <x:c r="A35" s="38" t="str">
        <x:v>H33</x:v>
      </x:c>
      <x:c r="B35" s="38" t="str">
        <x:v>Setup — Package Selection</x:v>
      </x:c>
      <x:c r="C35" s="38" t="str">
        <x:v>Album Setup</x:v>
      </x:c>
      <x:c r="D35" s="38" t="str">
        <x:v>Host / can_setup (view)</x:v>
      </x:c>
      <x:c r="E35" s="38" t="str">
        <x:v>LOCKED</x:v>
      </x:c>
      <x:c r="F35" s="38" t="str">
        <x:v>L</x:v>
      </x:c>
      <x:c r="G35" s="38" t="str">
        <x:v>UC-03/06/07</x:v>
      </x:c>
      <x:c r="H35" s="38" t="str">
        <x:v>PROPOSED 8.1</x:v>
      </x:c>
      <x:c r="I35" s="38" t="n">
        <x:f>IF(F35="S",1,IF(F35="M",2,IF(F35="L",3,IF(F35="XL",5,0))))</x:f>
        <x:v>3</x:v>
      </x:c>
    </x:row>
    <x:row r="36">
      <x:c r="A36" s="38" t="str">
        <x:v>H34</x:v>
      </x:c>
      <x:c r="B36" s="38" t="str">
        <x:v>Setup — Collaborators</x:v>
      </x:c>
      <x:c r="C36" s="38" t="str">
        <x:v>Album Setup</x:v>
      </x:c>
      <x:c r="D36" s="38" t="str">
        <x:v>Host</x:v>
      </x:c>
      <x:c r="E36" s="38" t="str">
        <x:v>LOCKED</x:v>
      </x:c>
      <x:c r="F36" s="38" t="str">
        <x:v>L</x:v>
      </x:c>
      <x:c r="G36" s="38" t="str">
        <x:v>UC-04</x:v>
      </x:c>
      <x:c r="H36" s="38" t="str">
        <x:v>PROPOSED 8.1</x:v>
      </x:c>
      <x:c r="I36" s="38" t="n">
        <x:f>IF(F36="S",1,IF(F36="M",2,IF(F36="L",3,IF(F36="XL",5,0))))</x:f>
        <x:v>3</x:v>
      </x:c>
    </x:row>
    <x:row r="37">
      <x:c r="A37" s="38" t="str">
        <x:v>H35</x:v>
      </x:c>
      <x:c r="B37" s="38" t="str">
        <x:v>Review Setup</x:v>
      </x:c>
      <x:c r="C37" s="38" t="str">
        <x:v>Album Setup</x:v>
      </x:c>
      <x:c r="D37" s="38" t="str">
        <x:v>Host</x:v>
      </x:c>
      <x:c r="E37" s="38" t="str">
        <x:v>LOCKED</x:v>
      </x:c>
      <x:c r="F37" s="38" t="str">
        <x:v>XL</x:v>
      </x:c>
      <x:c r="G37" s="38" t="str">
        <x:v>UC-05</x:v>
      </x:c>
      <x:c r="H37" s="38" t="str">
        <x:v>PROPOSED 8.1</x:v>
      </x:c>
      <x:c r="I37" s="38" t="n">
        <x:f>IF(F37="S",1,IF(F37="M",2,IF(F37="L",3,IF(F37="XL",5,0))))</x:f>
        <x:v>5</x:v>
      </x:c>
    </x:row>
    <x:row r="38">
      <x:c r="A38" s="38" t="str">
        <x:v>H36</x:v>
      </x:c>
      <x:c r="B38" s="38" t="str">
        <x:v>Album Ready / Free Activation Result</x:v>
      </x:c>
      <x:c r="C38" s="38" t="str">
        <x:v>Album Setup</x:v>
      </x:c>
      <x:c r="D38" s="38" t="str">
        <x:v>Host</x:v>
      </x:c>
      <x:c r="E38" s="38" t="str">
        <x:v>LOCKED</x:v>
      </x:c>
      <x:c r="F38" s="38" t="str">
        <x:v>M</x:v>
      </x:c>
      <x:c r="G38" s="38" t="str">
        <x:v>UC-06</x:v>
      </x:c>
      <x:c r="H38" s="38" t="str">
        <x:v>PROPOSED 8.1</x:v>
      </x:c>
      <x:c r="I38" s="38" t="n">
        <x:f>IF(F38="S",1,IF(F38="M",2,IF(F38="L",3,IF(F38="XL",5,0))))</x:f>
        <x:v>2</x:v>
      </x:c>
    </x:row>
    <x:row r="39">
      <x:c r="A39" s="38" t="str">
        <x:v>H37</x:v>
      </x:c>
      <x:c r="B39" s="38" t="str">
        <x:v>Paid Checkout Preparation</x:v>
      </x:c>
      <x:c r="C39" s="38" t="str">
        <x:v>Payment</x:v>
      </x:c>
      <x:c r="D39" s="38" t="str">
        <x:v>Host</x:v>
      </x:c>
      <x:c r="E39" s="38" t="str">
        <x:v>LOCKED</x:v>
      </x:c>
      <x:c r="F39" s="38" t="str">
        <x:v>L</x:v>
      </x:c>
      <x:c r="G39" s="38" t="str">
        <x:v>UC-07</x:v>
      </x:c>
      <x:c r="H39" s="38" t="str">
        <x:v>PROPOSED 8.1</x:v>
      </x:c>
      <x:c r="I39" s="38" t="n">
        <x:f>IF(F39="S",1,IF(F39="M",2,IF(F39="L",3,IF(F39="XL",5,0))))</x:f>
        <x:v>3</x:v>
      </x:c>
    </x:row>
    <x:row r="40">
      <x:c r="A40" s="38" t="str">
        <x:v>H38</x:v>
      </x:c>
      <x:c r="B40" s="38" t="str">
        <x:v>Payment Status / Provider Return</x:v>
      </x:c>
      <x:c r="C40" s="38" t="str">
        <x:v>Payment</x:v>
      </x:c>
      <x:c r="D40" s="38" t="str">
        <x:v>Host</x:v>
      </x:c>
      <x:c r="E40" s="38" t="str">
        <x:v>LOCKED</x:v>
      </x:c>
      <x:c r="F40" s="38" t="str">
        <x:v>L</x:v>
      </x:c>
      <x:c r="G40" s="38" t="str">
        <x:v>UC-07; API Payment</x:v>
      </x:c>
      <x:c r="H40" s="38" t="str">
        <x:v>PROPOSED 8.1</x:v>
      </x:c>
      <x:c r="I40" s="38" t="n">
        <x:f>IF(F40="S",1,IF(F40="M",2,IF(F40="L",3,IF(F40="XL",5,0))))</x:f>
        <x:v>3</x:v>
      </x:c>
    </x:row>
    <x:row r="41">
      <x:c r="A41" s="38" t="str">
        <x:v>H39</x:v>
      </x:c>
      <x:c r="B41" s="38" t="str">
        <x:v>Sharing &amp; QR</x:v>
      </x:c>
      <x:c r="C41" s="38" t="str">
        <x:v>Sharing</x:v>
      </x:c>
      <x:c r="D41" s="38" t="str">
        <x:v>Host</x:v>
      </x:c>
      <x:c r="E41" s="38" t="str">
        <x:v>LOCKED</x:v>
      </x:c>
      <x:c r="F41" s="38" t="str">
        <x:v>XL</x:v>
      </x:c>
      <x:c r="G41" s="38" t="str">
        <x:v>UC-08</x:v>
      </x:c>
      <x:c r="H41" s="38" t="str">
        <x:v>PROPOSED 8.1</x:v>
      </x:c>
      <x:c r="I41" s="38" t="n">
        <x:f>IF(F41="S",1,IF(F41="M",2,IF(F41="L",3,IF(F41="XL",5,0))))</x:f>
        <x:v>5</x:v>
      </x:c>
    </x:row>
    <x:row r="42">
      <x:c r="A42" s="38" t="str">
        <x:v>H40</x:v>
      </x:c>
      <x:c r="B42" s="38" t="str">
        <x:v>Event Preparation Guide / QR PDF</x:v>
      </x:c>
      <x:c r="C42" s="38" t="str">
        <x:v>Sharing</x:v>
      </x:c>
      <x:c r="D42" s="38" t="str">
        <x:v>Host / WO/EO</x:v>
      </x:c>
      <x:c r="E42" s="38" t="str">
        <x:v>LOCKED</x:v>
      </x:c>
      <x:c r="F42" s="38" t="str">
        <x:v>M</x:v>
      </x:c>
      <x:c r="G42" s="38" t="str">
        <x:v>UC-08</x:v>
      </x:c>
      <x:c r="H42" s="38" t="str">
        <x:v>PROPOSED 8.1</x:v>
      </x:c>
      <x:c r="I42" s="38" t="n">
        <x:f>IF(F42="S",1,IF(F42="M",2,IF(F42="L",3,IF(F42="XL",5,0))))</x:f>
        <x:v>2</x:v>
      </x:c>
    </x:row>
    <x:row r="43">
      <x:c r="A43" s="38" t="str">
        <x:v>H41</x:v>
      </x:c>
      <x:c r="B43" s="38" t="str">
        <x:v>Live Event Dashboard</x:v>
      </x:c>
      <x:c r="C43" s="38" t="str">
        <x:v>Host</x:v>
      </x:c>
      <x:c r="D43" s="38" t="str">
        <x:v>Host</x:v>
      </x:c>
      <x:c r="E43" s="38" t="str">
        <x:v>LOCKED</x:v>
      </x:c>
      <x:c r="F43" s="38" t="str">
        <x:v>XL</x:v>
      </x:c>
      <x:c r="G43" s="38" t="str">
        <x:v>UC-21</x:v>
      </x:c>
      <x:c r="H43" s="38" t="str">
        <x:v>PROPOSED 8.1</x:v>
      </x:c>
      <x:c r="I43" s="38" t="n">
        <x:f>IF(F43="S",1,IF(F43="M",2,IF(F43="L",3,IF(F43="XL",5,0))))</x:f>
        <x:v>5</x:v>
      </x:c>
    </x:row>
    <x:row r="44">
      <x:c r="A44" s="38" t="str">
        <x:v>H42</x:v>
      </x:c>
      <x:c r="B44" s="38" t="str">
        <x:v>Album Gallery Management</x:v>
      </x:c>
      <x:c r="C44" s="38" t="str">
        <x:v>Gallery</x:v>
      </x:c>
      <x:c r="D44" s="38" t="str">
        <x:v>Host / can_moderate</x:v>
      </x:c>
      <x:c r="E44" s="38" t="str">
        <x:v>LOCKED</x:v>
      </x:c>
      <x:c r="F44" s="38" t="str">
        <x:v>XL</x:v>
      </x:c>
      <x:c r="G44" s="38" t="str">
        <x:v>UC-13/14</x:v>
      </x:c>
      <x:c r="H44" s="38" t="str">
        <x:v>PROPOSED 8.1</x:v>
      </x:c>
      <x:c r="I44" s="38" t="n">
        <x:f>IF(F44="S",1,IF(F44="M",2,IF(F44="L",3,IF(F44="XL",5,0))))</x:f>
        <x:v>5</x:v>
      </x:c>
    </x:row>
    <x:row r="45">
      <x:c r="A45" s="38" t="str">
        <x:v>H43</x:v>
      </x:c>
      <x:c r="B45" s="38" t="str">
        <x:v>Photo Management Detail</x:v>
      </x:c>
      <x:c r="C45" s="38" t="str">
        <x:v>Gallery</x:v>
      </x:c>
      <x:c r="D45" s="38" t="str">
        <x:v>Host / can_moderate</x:v>
      </x:c>
      <x:c r="E45" s="38" t="str">
        <x:v>LOCKED</x:v>
      </x:c>
      <x:c r="F45" s="38" t="str">
        <x:v>L</x:v>
      </x:c>
      <x:c r="G45" s="38" t="str">
        <x:v>UC-13/14</x:v>
      </x:c>
      <x:c r="H45" s="38" t="str">
        <x:v>PROPOSED 8.1</x:v>
      </x:c>
      <x:c r="I45" s="38" t="n">
        <x:f>IF(F45="S",1,IF(F45="M",2,IF(F45="L",3,IF(F45="XL",5,0))))</x:f>
        <x:v>3</x:v>
      </x:c>
    </x:row>
    <x:row r="46">
      <x:c r="A46" s="38" t="str">
        <x:v>H44</x:v>
      </x:c>
      <x:c r="B46" s="38" t="str">
        <x:v>Trash / Deleted Photos</x:v>
      </x:c>
      <x:c r="C46" s="38" t="str">
        <x:v>Gallery</x:v>
      </x:c>
      <x:c r="D46" s="38" t="str">
        <x:v>Host</x:v>
      </x:c>
      <x:c r="E46" s="38" t="str">
        <x:v>UX-DERIVED FROM LOCKED RULE</x:v>
      </x:c>
      <x:c r="F46" s="38" t="str">
        <x:v>L</x:v>
      </x:c>
      <x:c r="G46" s="38" t="str">
        <x:v>UC-14; retention</x:v>
      </x:c>
      <x:c r="H46" s="38" t="str">
        <x:v>PROPOSED 8.1</x:v>
      </x:c>
      <x:c r="I46" s="38" t="n">
        <x:f>IF(F46="S",1,IF(F46="M",2,IF(F46="L",3,IF(F46="XL",5,0))))</x:f>
        <x:v>3</x:v>
      </x:c>
    </x:row>
    <x:row r="47">
      <x:c r="A47" s="38" t="str">
        <x:v>H45</x:v>
      </x:c>
      <x:c r="B47" s="38" t="str">
        <x:v>Collaborators Management</x:v>
      </x:c>
      <x:c r="C47" s="38" t="str">
        <x:v>Collaboration</x:v>
      </x:c>
      <x:c r="D47" s="38" t="str">
        <x:v>Host</x:v>
      </x:c>
      <x:c r="E47" s="38" t="str">
        <x:v>LOCKED</x:v>
      </x:c>
      <x:c r="F47" s="38" t="str">
        <x:v>L</x:v>
      </x:c>
      <x:c r="G47" s="38" t="str">
        <x:v>UC-04</x:v>
      </x:c>
      <x:c r="H47" s="38" t="str">
        <x:v>PROPOSED 8.1</x:v>
      </x:c>
      <x:c r="I47" s="38" t="n">
        <x:f>IF(F47="S",1,IF(F47="M",2,IF(F47="L",3,IF(F47="XL",5,0))))</x:f>
        <x:v>3</x:v>
      </x:c>
    </x:row>
    <x:row r="48">
      <x:c r="A48" s="38" t="str">
        <x:v>H46</x:v>
      </x:c>
      <x:c r="B48" s="38" t="str">
        <x:v>Invitation History</x:v>
      </x:c>
      <x:c r="C48" s="38" t="str">
        <x:v>Collaboration</x:v>
      </x:c>
      <x:c r="D48" s="38" t="str">
        <x:v>Host</x:v>
      </x:c>
      <x:c r="E48" s="38" t="str">
        <x:v>LOCKED</x:v>
      </x:c>
      <x:c r="F48" s="38" t="str">
        <x:v>M</x:v>
      </x:c>
      <x:c r="G48" s="38" t="str">
        <x:v>UC-04</x:v>
      </x:c>
      <x:c r="H48" s="38" t="str">
        <x:v>PROPOSED 8.1</x:v>
      </x:c>
      <x:c r="I48" s="38" t="n">
        <x:f>IF(F48="S",1,IF(F48="M",2,IF(F48="L",3,IF(F48="XL",5,0))))</x:f>
        <x:v>2</x:v>
      </x:c>
    </x:row>
    <x:row r="49">
      <x:c r="A49" s="38" t="str">
        <x:v>H47</x:v>
      </x:c>
      <x:c r="B49" s="38" t="str">
        <x:v>Billing &amp; Payment History</x:v>
      </x:c>
      <x:c r="C49" s="38" t="str">
        <x:v>Payment</x:v>
      </x:c>
      <x:c r="D49" s="38" t="str">
        <x:v>Host</x:v>
      </x:c>
      <x:c r="E49" s="38" t="str">
        <x:v>LOCKED</x:v>
      </x:c>
      <x:c r="F49" s="38" t="str">
        <x:v>L</x:v>
      </x:c>
      <x:c r="G49" s="38" t="str">
        <x:v>UC-21</x:v>
      </x:c>
      <x:c r="H49" s="38" t="str">
        <x:v>PROPOSED 8.1</x:v>
      </x:c>
      <x:c r="I49" s="38" t="n">
        <x:f>IF(F49="S",1,IF(F49="M",2,IF(F49="L",3,IF(F49="XL",5,0))))</x:f>
        <x:v>3</x:v>
      </x:c>
    </x:row>
    <x:row r="50">
      <x:c r="A50" s="38" t="str">
        <x:v>H48</x:v>
      </x:c>
      <x:c r="B50" s="38" t="str">
        <x:v>Payment Transaction Detail</x:v>
      </x:c>
      <x:c r="C50" s="38" t="str">
        <x:v>Payment</x:v>
      </x:c>
      <x:c r="D50" s="38" t="str">
        <x:v>Host</x:v>
      </x:c>
      <x:c r="E50" s="38" t="str">
        <x:v>LOCKED</x:v>
      </x:c>
      <x:c r="F50" s="38" t="str">
        <x:v>M</x:v>
      </x:c>
      <x:c r="G50" s="38" t="str">
        <x:v>UC-07/17/21</x:v>
      </x:c>
      <x:c r="H50" s="38" t="str">
        <x:v>PROPOSED 8.1</x:v>
      </x:c>
      <x:c r="I50" s="38" t="n">
        <x:f>IF(F50="S",1,IF(F50="M",2,IF(F50="L",3,IF(F50="XL",5,0))))</x:f>
        <x:v>2</x:v>
      </x:c>
    </x:row>
    <x:row r="51">
      <x:c r="A51" s="38" t="str">
        <x:v>H49</x:v>
      </x:c>
      <x:c r="B51" s="38" t="str">
        <x:v>Package Upgrade</x:v>
      </x:c>
      <x:c r="C51" s="38" t="str">
        <x:v>Payment</x:v>
      </x:c>
      <x:c r="D51" s="38" t="str">
        <x:v>Host</x:v>
      </x:c>
      <x:c r="E51" s="38" t="str">
        <x:v>LOCKED</x:v>
      </x:c>
      <x:c r="F51" s="38" t="str">
        <x:v>L</x:v>
      </x:c>
      <x:c r="G51" s="38" t="str">
        <x:v>UC-17</x:v>
      </x:c>
      <x:c r="H51" s="38" t="str">
        <x:v>PROPOSED 8.1</x:v>
      </x:c>
      <x:c r="I51" s="38" t="n">
        <x:f>IF(F51="S",1,IF(F51="M",2,IF(F51="L",3,IF(F51="XL",5,0))))</x:f>
        <x:v>3</x:v>
      </x:c>
    </x:row>
    <x:row r="52">
      <x:c r="A52" s="38" t="str">
        <x:v>H50</x:v>
      </x:c>
      <x:c r="B52" s="38" t="str">
        <x:v>Export Center</x:v>
      </x:c>
      <x:c r="C52" s="38" t="str">
        <x:v>Export</x:v>
      </x:c>
      <x:c r="D52" s="38" t="str">
        <x:v>Host / can_export_zip</x:v>
      </x:c>
      <x:c r="E52" s="38" t="str">
        <x:v>LOCKED</x:v>
      </x:c>
      <x:c r="F52" s="38" t="str">
        <x:v>L</x:v>
      </x:c>
      <x:c r="G52" s="38" t="str">
        <x:v>UC-18</x:v>
      </x:c>
      <x:c r="H52" s="38" t="str">
        <x:v>PROPOSED 8.1</x:v>
      </x:c>
      <x:c r="I52" s="38" t="n">
        <x:f>IF(F52="S",1,IF(F52="M",2,IF(F52="L",3,IF(F52="XL",5,0))))</x:f>
        <x:v>3</x:v>
      </x:c>
    </x:row>
    <x:row r="53">
      <x:c r="A53" s="38" t="str">
        <x:v>H51</x:v>
      </x:c>
      <x:c r="B53" s="38" t="str">
        <x:v>Export Job Detail</x:v>
      </x:c>
      <x:c r="C53" s="38" t="str">
        <x:v>Export</x:v>
      </x:c>
      <x:c r="D53" s="38" t="str">
        <x:v>Host / can_export_zip</x:v>
      </x:c>
      <x:c r="E53" s="38" t="str">
        <x:v>LOCKED</x:v>
      </x:c>
      <x:c r="F53" s="38" t="str">
        <x:v>M</x:v>
      </x:c>
      <x:c r="G53" s="38" t="str">
        <x:v>UC-18</x:v>
      </x:c>
      <x:c r="H53" s="38" t="str">
        <x:v>PROPOSED 8.1</x:v>
      </x:c>
      <x:c r="I53" s="38" t="n">
        <x:f>IF(F53="S",1,IF(F53="M",2,IF(F53="L",3,IF(F53="XL",5,0))))</x:f>
        <x:v>2</x:v>
      </x:c>
    </x:row>
    <x:row r="54">
      <x:c r="A54" s="38" t="str">
        <x:v>H52</x:v>
      </x:c>
      <x:c r="B54" s="38" t="str">
        <x:v>Album Activity</x:v>
      </x:c>
      <x:c r="C54" s="38" t="str">
        <x:v>Operations</x:v>
      </x:c>
      <x:c r="D54" s="38" t="str">
        <x:v>Host / scoped WO/EO</x:v>
      </x:c>
      <x:c r="E54" s="38" t="str">
        <x:v>LOCKED</x:v>
      </x:c>
      <x:c r="F54" s="38" t="str">
        <x:v>L</x:v>
      </x:c>
      <x:c r="G54" s="38" t="str">
        <x:v>UC-21</x:v>
      </x:c>
      <x:c r="H54" s="38" t="str">
        <x:v>PROPOSED 8.1</x:v>
      </x:c>
      <x:c r="I54" s="38" t="n">
        <x:f>IF(F54="S",1,IF(F54="M",2,IF(F54="L",3,IF(F54="XL",5,0))))</x:f>
        <x:v>3</x:v>
      </x:c>
    </x:row>
    <x:row r="55">
      <x:c r="A55" s="38" t="str">
        <x:v>H53</x:v>
      </x:c>
      <x:c r="B55" s="38" t="str">
        <x:v>Reschedule Event</x:v>
      </x:c>
      <x:c r="C55" s="38" t="str">
        <x:v>Schedule</x:v>
      </x:c>
      <x:c r="D55" s="38" t="str">
        <x:v>Host</x:v>
      </x:c>
      <x:c r="E55" s="38" t="str">
        <x:v>LOCKED</x:v>
      </x:c>
      <x:c r="F55" s="38" t="str">
        <x:v>XL</x:v>
      </x:c>
      <x:c r="G55" s="38" t="str">
        <x:v>UC-19</x:v>
      </x:c>
      <x:c r="H55" s="38" t="str">
        <x:v>PROPOSED 8.1</x:v>
      </x:c>
      <x:c r="I55" s="38" t="n">
        <x:f>IF(F55="S",1,IF(F55="M",2,IF(F55="L",3,IF(F55="XL",5,0))))</x:f>
        <x:v>5</x:v>
      </x:c>
    </x:row>
    <x:row r="56">
      <x:c r="A56" s="38" t="str">
        <x:v>H54</x:v>
      </x:c>
      <x:c r="B56" s="38" t="str">
        <x:v>Lifecycle &amp; Retention</x:v>
      </x:c>
      <x:c r="C56" s="38" t="str">
        <x:v>Lifecycle</x:v>
      </x:c>
      <x:c r="D56" s="38" t="str">
        <x:v>Host</x:v>
      </x:c>
      <x:c r="E56" s="38" t="str">
        <x:v>LOCKED</x:v>
      </x:c>
      <x:c r="F56" s="38" t="str">
        <x:v>L</x:v>
      </x:c>
      <x:c r="G56" s="38" t="str">
        <x:v>UC-22</x:v>
      </x:c>
      <x:c r="H56" s="38" t="str">
        <x:v>PROPOSED 8.1</x:v>
      </x:c>
      <x:c r="I56" s="38" t="n">
        <x:f>IF(F56="S",1,IF(F56="M",2,IF(F56="L",3,IF(F56="XL",5,0))))</x:f>
        <x:v>3</x:v>
      </x:c>
    </x:row>
    <x:row r="57">
      <x:c r="A57" s="38" t="str">
        <x:v>H55</x:v>
      </x:c>
      <x:c r="B57" s="38" t="str">
        <x:v>Recovery Activation / Status</x:v>
      </x:c>
      <x:c r="C57" s="38" t="str">
        <x:v>Lifecycle</x:v>
      </x:c>
      <x:c r="D57" s="38" t="str">
        <x:v>Host</x:v>
      </x:c>
      <x:c r="E57" s="38" t="str">
        <x:v>LOCKED</x:v>
      </x:c>
      <x:c r="F57" s="38" t="str">
        <x:v>L</x:v>
      </x:c>
      <x:c r="G57" s="38" t="str">
        <x:v>UC-22</x:v>
      </x:c>
      <x:c r="H57" s="38" t="str">
        <x:v>PROPOSED 8.1</x:v>
      </x:c>
      <x:c r="I57" s="38" t="n">
        <x:f>IF(F57="S",1,IF(F57="M",2,IF(F57="L",3,IF(F57="XL",5,0))))</x:f>
        <x:v>3</x:v>
      </x:c>
    </x:row>
    <x:row r="58">
      <x:c r="A58" s="38" t="str">
        <x:v>H56</x:v>
      </x:c>
      <x:c r="B58" s="38" t="str">
        <x:v>Recovery Media Workspace</x:v>
      </x:c>
      <x:c r="C58" s="38" t="str">
        <x:v>Lifecycle</x:v>
      </x:c>
      <x:c r="D58" s="38" t="str">
        <x:v>Host</x:v>
      </x:c>
      <x:c r="E58" s="38" t="str">
        <x:v>LOCKED</x:v>
      </x:c>
      <x:c r="F58" s="38" t="str">
        <x:v>XL</x:v>
      </x:c>
      <x:c r="G58" s="38" t="str">
        <x:v>UC-22</x:v>
      </x:c>
      <x:c r="H58" s="38" t="str">
        <x:v>PROPOSED 8.1</x:v>
      </x:c>
      <x:c r="I58" s="38" t="n">
        <x:f>IF(F58="S",1,IF(F58="M",2,IF(F58="L",3,IF(F58="XL",5,0))))</x:f>
        <x:v>5</x:v>
      </x:c>
    </x:row>
    <x:row r="59">
      <x:c r="A59" s="38" t="str">
        <x:v>H57</x:v>
      </x:c>
      <x:c r="B59" s="38" t="str">
        <x:v>Album Settings</x:v>
      </x:c>
      <x:c r="C59" s="38" t="str">
        <x:v>Host</x:v>
      </x:c>
      <x:c r="D59" s="38" t="str">
        <x:v>Host / can_setup where allowed</x:v>
      </x:c>
      <x:c r="E59" s="38" t="str">
        <x:v>LOCKED</x:v>
      </x:c>
      <x:c r="F59" s="38" t="str">
        <x:v>L</x:v>
      </x:c>
      <x:c r="G59" s="38" t="str">
        <x:v>UC-03</x:v>
      </x:c>
      <x:c r="H59" s="38" t="str">
        <x:v>PROPOSED 8.1</x:v>
      </x:c>
      <x:c r="I59" s="38" t="n">
        <x:f>IF(F59="S",1,IF(F59="M",2,IF(F59="L",3,IF(F59="XL",5,0))))</x:f>
        <x:v>3</x:v>
      </x:c>
    </x:row>
    <x:row r="60">
      <x:c r="A60" s="38" t="str">
        <x:v>H58</x:v>
      </x:c>
      <x:c r="B60" s="38" t="str">
        <x:v>Album Design Management</x:v>
      </x:c>
      <x:c r="C60" s="38" t="str">
        <x:v>Design</x:v>
      </x:c>
      <x:c r="D60" s="38" t="str">
        <x:v>Host / can_setup where allowed</x:v>
      </x:c>
      <x:c r="E60" s="38" t="str">
        <x:v>LOCKED</x:v>
      </x:c>
      <x:c r="F60" s="38" t="str">
        <x:v>L</x:v>
      </x:c>
      <x:c r="G60" s="38" t="str">
        <x:v>UC-03</x:v>
      </x:c>
      <x:c r="H60" s="38" t="str">
        <x:v>PROPOSED 8.1</x:v>
      </x:c>
      <x:c r="I60" s="38" t="n">
        <x:f>IF(F60="S",1,IF(F60="M",2,IF(F60="L",3,IF(F60="XL",5,0))))</x:f>
        <x:v>3</x:v>
      </x:c>
    </x:row>
    <x:row r="61">
      <x:c r="A61" s="38" t="str">
        <x:v>H59</x:v>
      </x:c>
      <x:c r="B61" s="38" t="str">
        <x:v>Guest Experience Preview</x:v>
      </x:c>
      <x:c r="C61" s="38" t="str">
        <x:v>Host</x:v>
      </x:c>
      <x:c r="D61" s="38" t="str">
        <x:v>Host</x:v>
      </x:c>
      <x:c r="E61" s="38" t="str">
        <x:v>UX-DERIVED</x:v>
      </x:c>
      <x:c r="F61" s="38" t="str">
        <x:v>L</x:v>
      </x:c>
      <x:c r="G61" s="38" t="str">
        <x:v>UX differentiation</x:v>
      </x:c>
      <x:c r="H61" s="38" t="str">
        <x:v>PROPOSED 8.1</x:v>
      </x:c>
      <x:c r="I61" s="38" t="n">
        <x:f>IF(F61="S",1,IF(F61="M",2,IF(F61="L",3,IF(F61="XL",5,0))))</x:f>
        <x:v>3</x:v>
      </x:c>
    </x:row>
    <x:row r="62">
      <x:c r="A62" s="38" t="str">
        <x:v>H60</x:v>
      </x:c>
      <x:c r="B62" s="38" t="str">
        <x:v>Collaborator Dashboard</x:v>
      </x:c>
      <x:c r="C62" s="38" t="str">
        <x:v>WO/EO</x:v>
      </x:c>
      <x:c r="D62" s="38" t="str">
        <x:v>WO/EO</x:v>
      </x:c>
      <x:c r="E62" s="38" t="str">
        <x:v>UX-DERIVED FROM LOCKED ROLE</x:v>
      </x:c>
      <x:c r="F62" s="38" t="str">
        <x:v>XL</x:v>
      </x:c>
      <x:c r="G62" s="38" t="str">
        <x:v>UC-21</x:v>
      </x:c>
      <x:c r="H62" s="38" t="str">
        <x:v>PROPOSED 8.1</x:v>
      </x:c>
      <x:c r="I62" s="38" t="n">
        <x:f>IF(F62="S",1,IF(F62="M",2,IF(F62="L",3,IF(F62="XL",5,0))))</x:f>
        <x:v>5</x:v>
      </x:c>
    </x:row>
    <x:row r="63">
      <x:c r="A63" s="38" t="str">
        <x:v>H61</x:v>
      </x:c>
      <x:c r="B63" s="38" t="str">
        <x:v>Assigned Albums</x:v>
      </x:c>
      <x:c r="C63" s="38" t="str">
        <x:v>WO/EO</x:v>
      </x:c>
      <x:c r="D63" s="38" t="str">
        <x:v>WO/EO</x:v>
      </x:c>
      <x:c r="E63" s="38" t="str">
        <x:v>UX-DERIVED FROM LOCKED ROLE</x:v>
      </x:c>
      <x:c r="F63" s="38" t="str">
        <x:v>L</x:v>
      </x:c>
      <x:c r="G63" s="38" t="str">
        <x:v>UC-04/21</x:v>
      </x:c>
      <x:c r="H63" s="38" t="str">
        <x:v>PROPOSED 8.1</x:v>
      </x:c>
      <x:c r="I63" s="38" t="n">
        <x:f>IF(F63="S",1,IF(F63="M",2,IF(F63="L",3,IF(F63="XL",5,0))))</x:f>
        <x:v>3</x:v>
      </x:c>
    </x:row>
    <x:row r="64">
      <x:c r="A64" s="38" t="str">
        <x:v>H62</x:v>
      </x:c>
      <x:c r="B64" s="38" t="str">
        <x:v>Collaborator Album Workspace</x:v>
      </x:c>
      <x:c r="C64" s="38" t="str">
        <x:v>WO/EO</x:v>
      </x:c>
      <x:c r="D64" s="38" t="str">
        <x:v>WO/EO</x:v>
      </x:c>
      <x:c r="E64" s="38" t="str">
        <x:v>LOCKED ROLE VARIANT</x:v>
      </x:c>
      <x:c r="F64" s="38" t="str">
        <x:v>XL</x:v>
      </x:c>
      <x:c r="G64" s="38" t="str">
        <x:v>UC-03/14/18/21</x:v>
      </x:c>
      <x:c r="H64" s="38" t="str">
        <x:v>PROPOSED 8.1</x:v>
      </x:c>
      <x:c r="I64" s="38" t="n">
        <x:f>IF(F64="S",1,IF(F64="M",2,IF(F64="L",3,IF(F64="XL",5,0))))</x:f>
        <x:v>5</x:v>
      </x:c>
    </x:row>
    <x:row r="65">
      <x:c r="A65" s="38" t="str">
        <x:v>H63</x:v>
      </x:c>
      <x:c r="B65" s="38" t="str">
        <x:v>Collaborator Permission Summary</x:v>
      </x:c>
      <x:c r="C65" s="38" t="str">
        <x:v>WO/EO</x:v>
      </x:c>
      <x:c r="D65" s="38" t="str">
        <x:v>WO/EO</x:v>
      </x:c>
      <x:c r="E65" s="38" t="str">
        <x:v>UX-DERIVED</x:v>
      </x:c>
      <x:c r="F65" s="38" t="str">
        <x:v>M</x:v>
      </x:c>
      <x:c r="G65" s="38" t="str">
        <x:v>Permission Model</x:v>
      </x:c>
      <x:c r="H65" s="38" t="str">
        <x:v>PROPOSED 8.1</x:v>
      </x:c>
      <x:c r="I65" s="38" t="n">
        <x:f>IF(F65="S",1,IF(F65="M",2,IF(F65="L",3,IF(F65="XL",5,0))))</x:f>
        <x:v>2</x:v>
      </x:c>
    </x:row>
    <x:row r="66">
      <x:c r="A66" s="38" t="str">
        <x:v>H64</x:v>
      </x:c>
      <x:c r="B66" s="38" t="str">
        <x:v>Guest Link Resolving</x:v>
      </x:c>
      <x:c r="C66" s="38" t="str">
        <x:v>Guest</x:v>
      </x:c>
      <x:c r="D66" s="38" t="str">
        <x:v>Guest</x:v>
      </x:c>
      <x:c r="E66" s="38" t="str">
        <x:v>LOCKED</x:v>
      </x:c>
      <x:c r="F66" s="38" t="str">
        <x:v>S</x:v>
      </x:c>
      <x:c r="G66" s="38" t="str">
        <x:v>UC-09</x:v>
      </x:c>
      <x:c r="H66" s="38" t="str">
        <x:v>PROPOSED 8.1</x:v>
      </x:c>
      <x:c r="I66" s="38" t="n">
        <x:f>IF(F66="S",1,IF(F66="M",2,IF(F66="L",3,IF(F66="XL",5,0))))</x:f>
        <x:v>1</x:v>
      </x:c>
    </x:row>
    <x:row r="67">
      <x:c r="A67" s="38" t="str">
        <x:v>H65</x:v>
      </x:c>
      <x:c r="B67" s="38" t="str">
        <x:v>Guest Welcome / Event Preview</x:v>
      </x:c>
      <x:c r="C67" s="38" t="str">
        <x:v>Guest</x:v>
      </x:c>
      <x:c r="D67" s="38" t="str">
        <x:v>Guest</x:v>
      </x:c>
      <x:c r="E67" s="38" t="str">
        <x:v>UX-DERIVED</x:v>
      </x:c>
      <x:c r="F67" s="38" t="str">
        <x:v>M</x:v>
      </x:c>
      <x:c r="G67" s="38" t="str">
        <x:v>UC-09</x:v>
      </x:c>
      <x:c r="H67" s="38" t="str">
        <x:v>PROPOSED 8.1</x:v>
      </x:c>
      <x:c r="I67" s="38" t="n">
        <x:f>IF(F67="S",1,IF(F67="M",2,IF(F67="L",3,IF(F67="XL",5,0))))</x:f>
        <x:v>2</x:v>
      </x:c>
    </x:row>
    <x:row r="68">
      <x:c r="A68" s="38" t="str">
        <x:v>H66</x:v>
      </x:c>
      <x:c r="B68" s="38" t="str">
        <x:v>Guest Join — Display Name &amp; PIN</x:v>
      </x:c>
      <x:c r="C68" s="38" t="str">
        <x:v>Guest</x:v>
      </x:c>
      <x:c r="D68" s="38" t="str">
        <x:v>Guest</x:v>
      </x:c>
      <x:c r="E68" s="38" t="str">
        <x:v>LOCKED</x:v>
      </x:c>
      <x:c r="F68" s="38" t="str">
        <x:v>L</x:v>
      </x:c>
      <x:c r="G68" s="38" t="str">
        <x:v>UC-09</x:v>
      </x:c>
      <x:c r="H68" s="38" t="str">
        <x:v>PROPOSED 8.1</x:v>
      </x:c>
      <x:c r="I68" s="38" t="n">
        <x:f>IF(F68="S",1,IF(F68="M",2,IF(F68="L",3,IF(F68="XL",5,0))))</x:f>
        <x:v>3</x:v>
      </x:c>
    </x:row>
    <x:row r="69">
      <x:c r="A69" s="38" t="str">
        <x:v>H67</x:v>
      </x:c>
      <x:c r="B69" s="38" t="str">
        <x:v>Guest Consent</x:v>
      </x:c>
      <x:c r="C69" s="38" t="str">
        <x:v>Guest</x:v>
      </x:c>
      <x:c r="D69" s="38" t="str">
        <x:v>Guest</x:v>
      </x:c>
      <x:c r="E69" s="38" t="str">
        <x:v>LOCKED DATA / UX-DERIVED SURFACE</x:v>
      </x:c>
      <x:c r="F69" s="38" t="str">
        <x:v>M</x:v>
      </x:c>
      <x:c r="G69" s="38" t="str">
        <x:v>GuestConsent model</x:v>
      </x:c>
      <x:c r="H69" s="38" t="str">
        <x:v>PROPOSED 8.1</x:v>
      </x:c>
      <x:c r="I69" s="38" t="n">
        <x:f>IF(F69="S",1,IF(F69="M",2,IF(F69="L",3,IF(F69="XL",5,0))))</x:f>
        <x:v>2</x:v>
      </x:c>
    </x:row>
    <x:row r="70">
      <x:c r="A70" s="38" t="str">
        <x:v>H68</x:v>
      </x:c>
      <x:c r="B70" s="38" t="str">
        <x:v>Capture Waiting Room</x:v>
      </x:c>
      <x:c r="C70" s="38" t="str">
        <x:v>Guest</x:v>
      </x:c>
      <x:c r="D70" s="38" t="str">
        <x:v>Guest</x:v>
      </x:c>
      <x:c r="E70" s="38" t="str">
        <x:v>UX-DERIVED FROM LOCKED STATE</x:v>
      </x:c>
      <x:c r="F70" s="38" t="str">
        <x:v>L</x:v>
      </x:c>
      <x:c r="G70" s="38" t="str">
        <x:v>UC-10; schedule</x:v>
      </x:c>
      <x:c r="H70" s="38" t="str">
        <x:v>PROPOSED 8.1</x:v>
      </x:c>
      <x:c r="I70" s="38" t="n">
        <x:f>IF(F70="S",1,IF(F70="M",2,IF(F70="L",3,IF(F70="XL",5,0))))</x:f>
        <x:v>3</x:v>
      </x:c>
    </x:row>
    <x:row r="71">
      <x:c r="A71" s="38" t="str">
        <x:v>H69</x:v>
      </x:c>
      <x:c r="B71" s="38" t="str">
        <x:v>Live Camera</x:v>
      </x:c>
      <x:c r="C71" s="38" t="str">
        <x:v>Guest</x:v>
      </x:c>
      <x:c r="D71" s="38" t="str">
        <x:v>Guest</x:v>
      </x:c>
      <x:c r="E71" s="38" t="str">
        <x:v>LOCKED</x:v>
      </x:c>
      <x:c r="F71" s="38" t="str">
        <x:v>XL</x:v>
      </x:c>
      <x:c r="G71" s="38" t="str">
        <x:v>UC-10/11/12</x:v>
      </x:c>
      <x:c r="H71" s="38" t="str">
        <x:v>PROPOSED 8.1</x:v>
      </x:c>
      <x:c r="I71" s="38" t="n">
        <x:f>IF(F71="S",1,IF(F71="M",2,IF(F71="L",3,IF(F71="XL",5,0))))</x:f>
        <x:v>5</x:v>
      </x:c>
    </x:row>
    <x:row r="72">
      <x:c r="A72" s="38" t="str">
        <x:v>H70</x:v>
      </x:c>
      <x:c r="B72" s="38" t="str">
        <x:v>Photo Review / Retake</x:v>
      </x:c>
      <x:c r="C72" s="38" t="str">
        <x:v>Guest</x:v>
      </x:c>
      <x:c r="D72" s="38" t="str">
        <x:v>Guest</x:v>
      </x:c>
      <x:c r="E72" s="38" t="str">
        <x:v>LOCKED</x:v>
      </x:c>
      <x:c r="F72" s="38" t="str">
        <x:v>XL</x:v>
      </x:c>
      <x:c r="G72" s="38" t="str">
        <x:v>UC-11</x:v>
      </x:c>
      <x:c r="H72" s="38" t="str">
        <x:v>PROPOSED 8.1</x:v>
      </x:c>
      <x:c r="I72" s="38" t="n">
        <x:f>IF(F72="S",1,IF(F72="M",2,IF(F72="L",3,IF(F72="XL",5,0))))</x:f>
        <x:v>5</x:v>
      </x:c>
    </x:row>
    <x:row r="73">
      <x:c r="A73" s="38" t="str">
        <x:v>H71</x:v>
      </x:c>
      <x:c r="B73" s="38" t="str">
        <x:v>Upload / Save Status</x:v>
      </x:c>
      <x:c r="C73" s="38" t="str">
        <x:v>Guest</x:v>
      </x:c>
      <x:c r="D73" s="38" t="str">
        <x:v>Guest</x:v>
      </x:c>
      <x:c r="E73" s="38" t="str">
        <x:v>LOCKED</x:v>
      </x:c>
      <x:c r="F73" s="38" t="str">
        <x:v>L</x:v>
      </x:c>
      <x:c r="G73" s="38" t="str">
        <x:v>UC-12</x:v>
      </x:c>
      <x:c r="H73" s="38" t="str">
        <x:v>PROPOSED 8.1</x:v>
      </x:c>
      <x:c r="I73" s="38" t="n">
        <x:f>IF(F73="S",1,IF(F73="M",2,IF(F73="L",3,IF(F73="XL",5,0))))</x:f>
        <x:v>3</x:v>
      </x:c>
    </x:row>
    <x:row r="74">
      <x:c r="A74" s="38" t="str">
        <x:v>H72</x:v>
      </x:c>
      <x:c r="B74" s="38" t="str">
        <x:v>Capture Closed / Reveal Countdown</x:v>
      </x:c>
      <x:c r="C74" s="38" t="str">
        <x:v>Guest</x:v>
      </x:c>
      <x:c r="D74" s="38" t="str">
        <x:v>Guest</x:v>
      </x:c>
      <x:c r="E74" s="38" t="str">
        <x:v>UX-DERIVED FROM LOCKED STATE</x:v>
      </x:c>
      <x:c r="F74" s="38" t="str">
        <x:v>M</x:v>
      </x:c>
      <x:c r="G74" s="38" t="str">
        <x:v>UC-13</x:v>
      </x:c>
      <x:c r="H74" s="38" t="str">
        <x:v>PROPOSED 8.1</x:v>
      </x:c>
      <x:c r="I74" s="38" t="n">
        <x:f>IF(F74="S",1,IF(F74="M",2,IF(F74="L",3,IF(F74="XL",5,0))))</x:f>
        <x:v>2</x:v>
      </x:c>
    </x:row>
    <x:row r="75">
      <x:c r="A75" s="38" t="str">
        <x:v>H73</x:v>
      </x:c>
      <x:c r="B75" s="38" t="str">
        <x:v>Guest Gallery</x:v>
      </x:c>
      <x:c r="C75" s="38" t="str">
        <x:v>Guest</x:v>
      </x:c>
      <x:c r="D75" s="38" t="str">
        <x:v>Guest</x:v>
      </x:c>
      <x:c r="E75" s="38" t="str">
        <x:v>LOCKED</x:v>
      </x:c>
      <x:c r="F75" s="38" t="str">
        <x:v>XL</x:v>
      </x:c>
      <x:c r="G75" s="38" t="str">
        <x:v>UC-13/15/16</x:v>
      </x:c>
      <x:c r="H75" s="38" t="str">
        <x:v>PROPOSED 8.1</x:v>
      </x:c>
      <x:c r="I75" s="38" t="n">
        <x:f>IF(F75="S",1,IF(F75="M",2,IF(F75="L",3,IF(F75="XL",5,0))))</x:f>
        <x:v>5</x:v>
      </x:c>
    </x:row>
    <x:row r="76">
      <x:c r="A76" s="38" t="str">
        <x:v>H74</x:v>
      </x:c>
      <x:c r="B76" s="38" t="str">
        <x:v>Guest Photo Detail</x:v>
      </x:c>
      <x:c r="C76" s="38" t="str">
        <x:v>Guest</x:v>
      </x:c>
      <x:c r="D76" s="38" t="str">
        <x:v>Guest</x:v>
      </x:c>
      <x:c r="E76" s="38" t="str">
        <x:v>LOCKED</x:v>
      </x:c>
      <x:c r="F76" s="38" t="str">
        <x:v>L</x:v>
      </x:c>
      <x:c r="G76" s="38" t="str">
        <x:v>UC-13/15/16</x:v>
      </x:c>
      <x:c r="H76" s="38" t="str">
        <x:v>PROPOSED 8.1</x:v>
      </x:c>
      <x:c r="I76" s="38" t="n">
        <x:f>IF(F76="S",1,IF(F76="M",2,IF(F76="L",3,IF(F76="XL",5,0))))</x:f>
        <x:v>3</x:v>
      </x:c>
    </x:row>
    <x:row r="77">
      <x:c r="A77" s="38" t="str">
        <x:v>H75</x:v>
      </x:c>
      <x:c r="B77" s="38" t="str">
        <x:v>Guest Access Ended</x:v>
      </x:c>
      <x:c r="C77" s="38" t="str">
        <x:v>Guest</x:v>
      </x:c>
      <x:c r="D77" s="38" t="str">
        <x:v>Guest</x:v>
      </x:c>
      <x:c r="E77" s="38" t="str">
        <x:v>UX-DERIVED FROM LOCKED LIFECYCLE</x:v>
      </x:c>
      <x:c r="F77" s="38" t="str">
        <x:v>S</x:v>
      </x:c>
      <x:c r="G77" s="38" t="str">
        <x:v>UC-22</x:v>
      </x:c>
      <x:c r="H77" s="38" t="str">
        <x:v>PROPOSED 8.1</x:v>
      </x:c>
      <x:c r="I77" s="38" t="n">
        <x:f>IF(F77="S",1,IF(F77="M",2,IF(F77="L",3,IF(F77="XL",5,0))))</x:f>
        <x:v>1</x:v>
      </x:c>
    </x:row>
    <x:row r="78">
      <x:c r="A78" s="38" t="str">
        <x:v>H76</x:v>
      </x:c>
      <x:c r="B78" s="38" t="str">
        <x:v>Guest Post-Event End State</x:v>
      </x:c>
      <x:c r="C78" s="38" t="str">
        <x:v>Guest</x:v>
      </x:c>
      <x:c r="D78" s="38" t="str">
        <x:v>Guest</x:v>
      </x:c>
      <x:c r="E78" s="38" t="str">
        <x:v>UX-DERIVED</x:v>
      </x:c>
      <x:c r="F78" s="38" t="str">
        <x:v>S</x:v>
      </x:c>
      <x:c r="G78" s="38" t="str">
        <x:v>Retention UX</x:v>
      </x:c>
      <x:c r="H78" s="38" t="str">
        <x:v>PROPOSED 8.1</x:v>
      </x:c>
      <x:c r="I78" s="38" t="n">
        <x:f>IF(F78="S",1,IF(F78="M",2,IF(F78="L",3,IF(F78="XL",5,0))))</x:f>
        <x:v>1</x:v>
      </x:c>
    </x:row>
    <x:row r="79">
      <x:c r="A79" s="38" t="str">
        <x:v>H77</x:v>
      </x:c>
      <x:c r="B79" s="38" t="str">
        <x:v>Admin Dashboard</x:v>
      </x:c>
      <x:c r="C79" s="38" t="str">
        <x:v>Superadmin</x:v>
      </x:c>
      <x:c r="D79" s="38" t="str">
        <x:v>Superadmin</x:v>
      </x:c>
      <x:c r="E79" s="38" t="str">
        <x:v>LOCKED</x:v>
      </x:c>
      <x:c r="F79" s="38" t="str">
        <x:v>XL</x:v>
      </x:c>
      <x:c r="G79" s="38" t="str">
        <x:v>UC-20/21</x:v>
      </x:c>
      <x:c r="H79" s="38" t="str">
        <x:v>PROPOSED 8.1</x:v>
      </x:c>
      <x:c r="I79" s="38" t="n">
        <x:f>IF(F79="S",1,IF(F79="M",2,IF(F79="L",3,IF(F79="XL",5,0))))</x:f>
        <x:v>5</x:v>
      </x:c>
    </x:row>
    <x:row r="80">
      <x:c r="A80" s="38" t="str">
        <x:v>H78</x:v>
      </x:c>
      <x:c r="B80" s="38" t="str">
        <x:v>Users</x:v>
      </x:c>
      <x:c r="C80" s="38" t="str">
        <x:v>Superadmin</x:v>
      </x:c>
      <x:c r="D80" s="38" t="str">
        <x:v>Superadmin</x:v>
      </x:c>
      <x:c r="E80" s="38" t="str">
        <x:v>LOCKED</x:v>
      </x:c>
      <x:c r="F80" s="38" t="str">
        <x:v>L</x:v>
      </x:c>
      <x:c r="G80" s="38" t="str">
        <x:v>UC-20/21</x:v>
      </x:c>
      <x:c r="H80" s="38" t="str">
        <x:v>PROPOSED 8.1</x:v>
      </x:c>
      <x:c r="I80" s="38" t="n">
        <x:f>IF(F80="S",1,IF(F80="M",2,IF(F80="L",3,IF(F80="XL",5,0))))</x:f>
        <x:v>3</x:v>
      </x:c>
    </x:row>
    <x:row r="81">
      <x:c r="A81" s="38" t="str">
        <x:v>H79</x:v>
      </x:c>
      <x:c r="B81" s="38" t="str">
        <x:v>User Detail</x:v>
      </x:c>
      <x:c r="C81" s="38" t="str">
        <x:v>Superadmin</x:v>
      </x:c>
      <x:c r="D81" s="38" t="str">
        <x:v>Superadmin</x:v>
      </x:c>
      <x:c r="E81" s="38" t="str">
        <x:v>LOCKED</x:v>
      </x:c>
      <x:c r="F81" s="38" t="str">
        <x:v>L</x:v>
      </x:c>
      <x:c r="G81" s="38" t="str">
        <x:v>UC-20</x:v>
      </x:c>
      <x:c r="H81" s="38" t="str">
        <x:v>PROPOSED 8.1</x:v>
      </x:c>
      <x:c r="I81" s="38" t="n">
        <x:f>IF(F81="S",1,IF(F81="M",2,IF(F81="L",3,IF(F81="XL",5,0))))</x:f>
        <x:v>3</x:v>
      </x:c>
    </x:row>
    <x:row r="82">
      <x:c r="A82" s="38" t="str">
        <x:v>H80</x:v>
      </x:c>
      <x:c r="B82" s="38" t="str">
        <x:v>Albums Operations</x:v>
      </x:c>
      <x:c r="C82" s="38" t="str">
        <x:v>Superadmin</x:v>
      </x:c>
      <x:c r="D82" s="38" t="str">
        <x:v>Superadmin</x:v>
      </x:c>
      <x:c r="E82" s="38" t="str">
        <x:v>LOCKED</x:v>
      </x:c>
      <x:c r="F82" s="38" t="str">
        <x:v>L</x:v>
      </x:c>
      <x:c r="G82" s="38" t="str">
        <x:v>UC-21/26</x:v>
      </x:c>
      <x:c r="H82" s="38" t="str">
        <x:v>PROPOSED 8.1</x:v>
      </x:c>
      <x:c r="I82" s="38" t="n">
        <x:f>IF(F82="S",1,IF(F82="M",2,IF(F82="L",3,IF(F82="XL",5,0))))</x:f>
        <x:v>3</x:v>
      </x:c>
    </x:row>
    <x:row r="83">
      <x:c r="A83" s="38" t="str">
        <x:v>H81</x:v>
      </x:c>
      <x:c r="B83" s="38" t="str">
        <x:v>Album Operations Detail</x:v>
      </x:c>
      <x:c r="C83" s="38" t="str">
        <x:v>Superadmin</x:v>
      </x:c>
      <x:c r="D83" s="38" t="str">
        <x:v>Superadmin</x:v>
      </x:c>
      <x:c r="E83" s="38" t="str">
        <x:v>LOCKED</x:v>
      </x:c>
      <x:c r="F83" s="38" t="str">
        <x:v>XL</x:v>
      </x:c>
      <x:c r="G83" s="38" t="str">
        <x:v>UC-21/26</x:v>
      </x:c>
      <x:c r="H83" s="38" t="str">
        <x:v>PROPOSED 8.1</x:v>
      </x:c>
      <x:c r="I83" s="38" t="n">
        <x:f>IF(F83="S",1,IF(F83="M",2,IF(F83="L",3,IF(F83="XL",5,0))))</x:f>
        <x:v>5</x:v>
      </x:c>
    </x:row>
    <x:row r="84">
      <x:c r="A84" s="38" t="str">
        <x:v>H82</x:v>
      </x:c>
      <x:c r="B84" s="38" t="str">
        <x:v>Payments / Transactions</x:v>
      </x:c>
      <x:c r="C84" s="38" t="str">
        <x:v>Superadmin</x:v>
      </x:c>
      <x:c r="D84" s="38" t="str">
        <x:v>Superadmin</x:v>
      </x:c>
      <x:c r="E84" s="38" t="str">
        <x:v>LOCKED</x:v>
      </x:c>
      <x:c r="F84" s="38" t="str">
        <x:v>L</x:v>
      </x:c>
      <x:c r="G84" s="38" t="str">
        <x:v>UC-20/21</x:v>
      </x:c>
      <x:c r="H84" s="38" t="str">
        <x:v>PROPOSED 8.1</x:v>
      </x:c>
      <x:c r="I84" s="38" t="n">
        <x:f>IF(F84="S",1,IF(F84="M",2,IF(F84="L",3,IF(F84="XL",5,0))))</x:f>
        <x:v>3</x:v>
      </x:c>
    </x:row>
    <x:row r="85">
      <x:c r="A85" s="38" t="str">
        <x:v>H83</x:v>
      </x:c>
      <x:c r="B85" s="38" t="str">
        <x:v>Payment Transaction Diagnosis</x:v>
      </x:c>
      <x:c r="C85" s="38" t="str">
        <x:v>Superadmin</x:v>
      </x:c>
      <x:c r="D85" s="38" t="str">
        <x:v>Superadmin</x:v>
      </x:c>
      <x:c r="E85" s="38" t="str">
        <x:v>LOCKED</x:v>
      </x:c>
      <x:c r="F85" s="38" t="str">
        <x:v>L</x:v>
      </x:c>
      <x:c r="G85" s="38" t="str">
        <x:v>UC-20</x:v>
      </x:c>
      <x:c r="H85" s="38" t="str">
        <x:v>PROPOSED 8.1</x:v>
      </x:c>
      <x:c r="I85" s="38" t="n">
        <x:f>IF(F85="S",1,IF(F85="M",2,IF(F85="L",3,IF(F85="XL",5,0))))</x:f>
        <x:v>3</x:v>
      </x:c>
    </x:row>
    <x:row r="86">
      <x:c r="A86" s="38" t="str">
        <x:v>H84</x:v>
      </x:c>
      <x:c r="B86" s="38" t="str">
        <x:v>Package Catalog</x:v>
      </x:c>
      <x:c r="C86" s="38" t="str">
        <x:v>Superadmin</x:v>
      </x:c>
      <x:c r="D86" s="38" t="str">
        <x:v>Superadmin</x:v>
      </x:c>
      <x:c r="E86" s="38" t="str">
        <x:v>LOCKED</x:v>
      </x:c>
      <x:c r="F86" s="38" t="str">
        <x:v>L</x:v>
      </x:c>
      <x:c r="G86" s="38" t="str">
        <x:v>UC-20</x:v>
      </x:c>
      <x:c r="H86" s="38" t="str">
        <x:v>PROPOSED 8.1</x:v>
      </x:c>
      <x:c r="I86" s="38" t="n">
        <x:f>IF(F86="S",1,IF(F86="M",2,IF(F86="L",3,IF(F86="XL",5,0))))</x:f>
        <x:v>3</x:v>
      </x:c>
    </x:row>
    <x:row r="87">
      <x:c r="A87" s="38" t="str">
        <x:v>H85</x:v>
      </x:c>
      <x:c r="B87" s="38" t="str">
        <x:v>Create Package Version</x:v>
      </x:c>
      <x:c r="C87" s="38" t="str">
        <x:v>Superadmin</x:v>
      </x:c>
      <x:c r="D87" s="38" t="str">
        <x:v>Superadmin</x:v>
      </x:c>
      <x:c r="E87" s="38" t="str">
        <x:v>LOCKED</x:v>
      </x:c>
      <x:c r="F87" s="38" t="str">
        <x:v>L</x:v>
      </x:c>
      <x:c r="G87" s="38" t="str">
        <x:v>UC-20</x:v>
      </x:c>
      <x:c r="H87" s="38" t="str">
        <x:v>PROPOSED 8.1</x:v>
      </x:c>
      <x:c r="I87" s="38" t="n">
        <x:f>IF(F87="S",1,IF(F87="M",2,IF(F87="L",3,IF(F87="XL",5,0))))</x:f>
        <x:v>3</x:v>
      </x:c>
    </x:row>
    <x:row r="88">
      <x:c r="A88" s="38" t="str">
        <x:v>H86</x:v>
      </x:c>
      <x:c r="B88" s="38" t="str">
        <x:v>Operational Configuration</x:v>
      </x:c>
      <x:c r="C88" s="38" t="str">
        <x:v>Superadmin</x:v>
      </x:c>
      <x:c r="D88" s="38" t="str">
        <x:v>Superadmin</x:v>
      </x:c>
      <x:c r="E88" s="38" t="str">
        <x:v>LOCKED</x:v>
      </x:c>
      <x:c r="F88" s="38" t="str">
        <x:v>L</x:v>
      </x:c>
      <x:c r="G88" s="38" t="str">
        <x:v>UC-20</x:v>
      </x:c>
      <x:c r="H88" s="38" t="str">
        <x:v>PROPOSED 8.1</x:v>
      </x:c>
      <x:c r="I88" s="38" t="n">
        <x:f>IF(F88="S",1,IF(F88="M",2,IF(F88="L",3,IF(F88="XL",5,0))))</x:f>
        <x:v>3</x:v>
      </x:c>
    </x:row>
    <x:row r="89">
      <x:c r="A89" s="38" t="str">
        <x:v>H87</x:v>
      </x:c>
      <x:c r="B89" s="38" t="str">
        <x:v>Operational Issues</x:v>
      </x:c>
      <x:c r="C89" s="38" t="str">
        <x:v>Superadmin</x:v>
      </x:c>
      <x:c r="D89" s="38" t="str">
        <x:v>Superadmin</x:v>
      </x:c>
      <x:c r="E89" s="38" t="str">
        <x:v>LOCKED</x:v>
      </x:c>
      <x:c r="F89" s="38" t="str">
        <x:v>L</x:v>
      </x:c>
      <x:c r="G89" s="38" t="str">
        <x:v>UC-20/21</x:v>
      </x:c>
      <x:c r="H89" s="38" t="str">
        <x:v>PROPOSED 8.1</x:v>
      </x:c>
      <x:c r="I89" s="38" t="n">
        <x:f>IF(F89="S",1,IF(F89="M",2,IF(F89="L",3,IF(F89="XL",5,0))))</x:f>
        <x:v>3</x:v>
      </x:c>
    </x:row>
    <x:row r="90">
      <x:c r="A90" s="38" t="str">
        <x:v>H88</x:v>
      </x:c>
      <x:c r="B90" s="38" t="str">
        <x:v>Operational Issue Detail</x:v>
      </x:c>
      <x:c r="C90" s="38" t="str">
        <x:v>Superadmin</x:v>
      </x:c>
      <x:c r="D90" s="38" t="str">
        <x:v>Superadmin</x:v>
      </x:c>
      <x:c r="E90" s="38" t="str">
        <x:v>LOCKED</x:v>
      </x:c>
      <x:c r="F90" s="38" t="str">
        <x:v>M</x:v>
      </x:c>
      <x:c r="G90" s="38" t="str">
        <x:v>UC-20/21</x:v>
      </x:c>
      <x:c r="H90" s="38" t="str">
        <x:v>PROPOSED 8.1</x:v>
      </x:c>
      <x:c r="I90" s="38" t="n">
        <x:f>IF(F90="S",1,IF(F90="M",2,IF(F90="L",3,IF(F90="XL",5,0))))</x:f>
        <x:v>2</x:v>
      </x:c>
    </x:row>
    <x:row r="91">
      <x:c r="A91" s="38" t="str">
        <x:v>H89</x:v>
      </x:c>
      <x:c r="B91" s="38" t="str">
        <x:v>Audit Log</x:v>
      </x:c>
      <x:c r="C91" s="38" t="str">
        <x:v>Superadmin</x:v>
      </x:c>
      <x:c r="D91" s="38" t="str">
        <x:v>Superadmin</x:v>
      </x:c>
      <x:c r="E91" s="38" t="str">
        <x:v>LOCKED</x:v>
      </x:c>
      <x:c r="F91" s="38" t="str">
        <x:v>XL</x:v>
      </x:c>
      <x:c r="G91" s="38" t="str">
        <x:v>UC-21</x:v>
      </x:c>
      <x:c r="H91" s="38" t="str">
        <x:v>PROPOSED 8.1</x:v>
      </x:c>
      <x:c r="I91" s="38" t="n">
        <x:f>IF(F91="S",1,IF(F91="M",2,IF(F91="L",3,IF(F91="XL",5,0))))</x:f>
        <x:v>5</x:v>
      </x:c>
    </x:row>
    <x:row r="92">
      <x:c r="A92" s="38" t="str">
        <x:v>H90</x:v>
      </x:c>
      <x:c r="B92" s="38" t="str">
        <x:v>Admin Roster — Read Only</x:v>
      </x:c>
      <x:c r="C92" s="38" t="str">
        <x:v>Superadmin</x:v>
      </x:c>
      <x:c r="D92" s="38" t="str">
        <x:v>Superadmin</x:v>
      </x:c>
      <x:c r="E92" s="38" t="str">
        <x:v>LOCKED</x:v>
      </x:c>
      <x:c r="F92" s="38" t="str">
        <x:v>M</x:v>
      </x:c>
      <x:c r="G92" s="38" t="str">
        <x:v>UC-25</x:v>
      </x:c>
      <x:c r="H92" s="38" t="str">
        <x:v>PROPOSED 8.1</x:v>
      </x:c>
      <x:c r="I92" s="38" t="n">
        <x:f>IF(F92="S",1,IF(F92="M",2,IF(F92="L",3,IF(F92="XL",5,0))))</x:f>
        <x:v>2</x:v>
      </x:c>
    </x:row>
    <x:row r="93">
      <x:c r="A93" s="38" t="str">
        <x:v>H91</x:v>
      </x:c>
      <x:c r="B93" s="38" t="str">
        <x:v>Sensitive Media Access Workspace</x:v>
      </x:c>
      <x:c r="C93" s="38" t="str">
        <x:v>Superadmin</x:v>
      </x:c>
      <x:c r="D93" s="38" t="str">
        <x:v>Superadmin</x:v>
      </x:c>
      <x:c r="E93" s="38" t="str">
        <x:v>LOCKED</x:v>
      </x:c>
      <x:c r="F93" s="38" t="str">
        <x:v>XL</x:v>
      </x:c>
      <x:c r="G93" s="38" t="str">
        <x:v>UC-26</x:v>
      </x:c>
      <x:c r="H93" s="38" t="str">
        <x:v>PROPOSED 8.1</x:v>
      </x:c>
      <x:c r="I93" s="38" t="n">
        <x:f>IF(F93="S",1,IF(F93="M",2,IF(F93="L",3,IF(F93="XL",5,0))))</x:f>
        <x:v>5</x:v>
      </x:c>
    </x:row>
    <x:row r="94">
      <x:c r="A94" s="38" t="str">
        <x:v>H92</x:v>
      </x:c>
      <x:c r="B94" s="38" t="str">
        <x:v>Operational Hold Management</x:v>
      </x:c>
      <x:c r="C94" s="38" t="str">
        <x:v>Superadmin</x:v>
      </x:c>
      <x:c r="D94" s="38" t="str">
        <x:v>Superadmin</x:v>
      </x:c>
      <x:c r="E94" s="38" t="str">
        <x:v>LOCKED</x:v>
      </x:c>
      <x:c r="F94" s="38" t="str">
        <x:v>L</x:v>
      </x:c>
      <x:c r="G94" s="38" t="str">
        <x:v>UC-26</x:v>
      </x:c>
      <x:c r="H94" s="38" t="str">
        <x:v>PROPOSED 8.1</x:v>
      </x:c>
      <x:c r="I94" s="38" t="n">
        <x:f>IF(F94="S",1,IF(F94="M",2,IF(F94="L",3,IF(F94="XL",5,0))))</x:f>
        <x:v>3</x:v>
      </x:c>
    </x:row>
  </x:sheetData>
  <x:mergeCells>
    <x:mergeCell ref="A1:I1"/>
  </x:mergeCells>
  <x:dataValidations count="2">
    <x:dataValidation type="list" sqref="F3:F94">
      <x:formula1>"S,M,L,XL"</x:formula1>
    </x:dataValidation>
    <x:dataValidation type="list" sqref="H3:H94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7a5ad601e48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Modals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M01</x:v>
      </x:c>
      <x:c r="B3" s="38" t="str">
        <x:v>Confirm Setup</x:v>
      </x:c>
      <x:c r="C3" s="38" t="str">
        <x:v>Album Setup</x:v>
      </x:c>
      <x:c r="D3" s="38" t="str">
        <x:v>Host</x:v>
      </x:c>
      <x:c r="E3" s="38" t="str">
        <x:v>LOCKED</x:v>
      </x:c>
      <x:c r="F3" s="38" t="str">
        <x:v>M</x:v>
      </x:c>
      <x:c r="G3" s="38" t="str">
        <x:v>UC-05</x:v>
      </x:c>
      <x:c r="H3" s="38" t="str">
        <x:v>PROPOSED 8.1</x:v>
      </x:c>
      <x:c r="I3" s="38" t="n">
        <x:f>IF(F3="S",1,IF(F3="M",2,IF(F3="L",3,IF(F3="XL",5,0))))</x:f>
        <x:v>2</x:v>
      </x:c>
    </x:row>
    <x:row r="4">
      <x:c r="A4" s="38" t="str">
        <x:v>M02</x:v>
      </x:c>
      <x:c r="B4" s="38" t="str">
        <x:v>Activate Free Album</x:v>
      </x:c>
      <x:c r="C4" s="38" t="str">
        <x:v>Album Setup</x:v>
      </x:c>
      <x:c r="D4" s="38" t="str">
        <x:v>Host</x:v>
      </x:c>
      <x:c r="E4" s="38" t="str">
        <x:v>LOCKED</x:v>
      </x:c>
      <x:c r="F4" s="38" t="str">
        <x:v>S</x:v>
      </x:c>
      <x:c r="G4" s="38" t="str">
        <x:v>UC-06</x:v>
      </x:c>
      <x:c r="H4" s="38" t="str">
        <x:v>PROPOSED 8.1</x:v>
      </x:c>
      <x:c r="I4" s="38" t="n">
        <x:f>IF(F4="S",1,IF(F4="M",2,IF(F4="L",3,IF(F4="XL",5,0))))</x:f>
        <x:v>1</x:v>
      </x:c>
    </x:row>
    <x:row r="5">
      <x:c r="A5" s="38" t="str">
        <x:v>M03</x:v>
      </x:c>
      <x:c r="B5" s="38" t="str">
        <x:v>Start Paid Checkout</x:v>
      </x:c>
      <x:c r="C5" s="38" t="str">
        <x:v>Payment</x:v>
      </x:c>
      <x:c r="D5" s="38" t="str">
        <x:v>Host</x:v>
      </x:c>
      <x:c r="E5" s="38" t="str">
        <x:v>LOCKED</x:v>
      </x:c>
      <x:c r="F5" s="38" t="str">
        <x:v>M</x:v>
      </x:c>
      <x:c r="G5" s="38" t="str">
        <x:v>UC-07</x:v>
      </x:c>
      <x:c r="H5" s="38" t="str">
        <x:v>PROPOSED 8.1</x:v>
      </x:c>
      <x:c r="I5" s="38" t="n">
        <x:f>IF(F5="S",1,IF(F5="M",2,IF(F5="L",3,IF(F5="XL",5,0))))</x:f>
        <x:v>2</x:v>
      </x:c>
    </x:row>
    <x:row r="6">
      <x:c r="A6" s="38" t="str">
        <x:v>M04</x:v>
      </x:c>
      <x:c r="B6" s="38" t="str">
        <x:v>Checkout Already Active</x:v>
      </x:c>
      <x:c r="C6" s="38" t="str">
        <x:v>Payment</x:v>
      </x:c>
      <x:c r="D6" s="38" t="str">
        <x:v>Host</x:v>
      </x:c>
      <x:c r="E6" s="38" t="str">
        <x:v>UX-DERIVED FROM LOCKED RULE</x:v>
      </x:c>
      <x:c r="F6" s="38" t="str">
        <x:v>S</x:v>
      </x:c>
      <x:c r="G6" s="38" t="str">
        <x:v>UC-07</x:v>
      </x:c>
      <x:c r="H6" s="38" t="str">
        <x:v>PROPOSED 8.1</x:v>
      </x:c>
      <x:c r="I6" s="38" t="n">
        <x:f>IF(F6="S",1,IF(F6="M",2,IF(F6="L",3,IF(F6="XL",5,0))))</x:f>
        <x:v>1</x:v>
      </x:c>
    </x:row>
    <x:row r="7">
      <x:c r="A7" s="38" t="str">
        <x:v>M05</x:v>
      </x:c>
      <x:c r="B7" s="38" t="str">
        <x:v>Rotate Guest Access Link Warning</x:v>
      </x:c>
      <x:c r="C7" s="38" t="str">
        <x:v>Sharing</x:v>
      </x:c>
      <x:c r="D7" s="38" t="str">
        <x:v>Host</x:v>
      </x:c>
      <x:c r="E7" s="38" t="str">
        <x:v>LOCKED</x:v>
      </x:c>
      <x:c r="F7" s="38" t="str">
        <x:v>M</x:v>
      </x:c>
      <x:c r="G7" s="38" t="str">
        <x:v>UC-08</x:v>
      </x:c>
      <x:c r="H7" s="38" t="str">
        <x:v>PROPOSED 8.1</x:v>
      </x:c>
      <x:c r="I7" s="38" t="n">
        <x:f>IF(F7="S",1,IF(F7="M",2,IF(F7="L",3,IF(F7="XL",5,0))))</x:f>
        <x:v>2</x:v>
      </x:c>
    </x:row>
    <x:row r="8">
      <x:c r="A8" s="38" t="str">
        <x:v>M06</x:v>
      </x:c>
      <x:c r="B8" s="38" t="str">
        <x:v>Set / Change Guest PIN</x:v>
      </x:c>
      <x:c r="C8" s="38" t="str">
        <x:v>Guest Access</x:v>
      </x:c>
      <x:c r="D8" s="38" t="str">
        <x:v>Host / can_setup</x:v>
      </x:c>
      <x:c r="E8" s="38" t="str">
        <x:v>LOCKED</x:v>
      </x:c>
      <x:c r="F8" s="38" t="str">
        <x:v>M</x:v>
      </x:c>
      <x:c r="G8" s="38" t="str">
        <x:v>UC-03/09</x:v>
      </x:c>
      <x:c r="H8" s="38" t="str">
        <x:v>PROPOSED 8.1</x:v>
      </x:c>
      <x:c r="I8" s="38" t="n">
        <x:f>IF(F8="S",1,IF(F8="M",2,IF(F8="L",3,IF(F8="XL",5,0))))</x:f>
        <x:v>2</x:v>
      </x:c>
    </x:row>
    <x:row r="9">
      <x:c r="A9" s="38" t="str">
        <x:v>M07</x:v>
      </x:c>
      <x:c r="B9" s="38" t="str">
        <x:v>Remove Guest PIN</x:v>
      </x:c>
      <x:c r="C9" s="38" t="str">
        <x:v>Guest Access</x:v>
      </x:c>
      <x:c r="D9" s="38" t="str">
        <x:v>Host / can_setup</x:v>
      </x:c>
      <x:c r="E9" s="38" t="str">
        <x:v>LOCKED</x:v>
      </x:c>
      <x:c r="F9" s="38" t="str">
        <x:v>S</x:v>
      </x:c>
      <x:c r="G9" s="38" t="str">
        <x:v>UC-03/09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M08</x:v>
      </x:c>
      <x:c r="B10" s="38" t="str">
        <x:v>Invite Collaborator</x:v>
      </x:c>
      <x:c r="C10" s="38" t="str">
        <x:v>Collaboration</x:v>
      </x:c>
      <x:c r="D10" s="38" t="str">
        <x:v>Host</x:v>
      </x:c>
      <x:c r="E10" s="38" t="str">
        <x:v>LOCKED</x:v>
      </x:c>
      <x:c r="F10" s="38" t="str">
        <x:v>M</x:v>
      </x:c>
      <x:c r="G10" s="38" t="str">
        <x:v>UC-04</x:v>
      </x:c>
      <x:c r="H10" s="38" t="str">
        <x:v>PROPOSED 8.1</x:v>
      </x:c>
      <x:c r="I10" s="38" t="n">
        <x:f>IF(F10="S",1,IF(F10="M",2,IF(F10="L",3,IF(F10="XL",5,0))))</x:f>
        <x:v>2</x:v>
      </x:c>
    </x:row>
    <x:row r="11">
      <x:c r="A11" s="38" t="str">
        <x:v>M09</x:v>
      </x:c>
      <x:c r="B11" s="38" t="str">
        <x:v>Edit Collaborator Permissions</x:v>
      </x:c>
      <x:c r="C11" s="38" t="str">
        <x:v>Collaboration</x:v>
      </x:c>
      <x:c r="D11" s="38" t="str">
        <x:v>Host</x:v>
      </x:c>
      <x:c r="E11" s="38" t="str">
        <x:v>LOCKED</x:v>
      </x:c>
      <x:c r="F11" s="38" t="str">
        <x:v>M</x:v>
      </x:c>
      <x:c r="G11" s="38" t="str">
        <x:v>UC-04</x:v>
      </x:c>
      <x:c r="H11" s="38" t="str">
        <x:v>PROPOSED 8.1</x:v>
      </x:c>
      <x:c r="I11" s="38" t="n">
        <x:f>IF(F11="S",1,IF(F11="M",2,IF(F11="L",3,IF(F11="XL",5,0))))</x:f>
        <x:v>2</x:v>
      </x:c>
    </x:row>
    <x:row r="12">
      <x:c r="A12" s="38" t="str">
        <x:v>M10</x:v>
      </x:c>
      <x:c r="B12" s="38" t="str">
        <x:v>Revoke Collaborator</x:v>
      </x:c>
      <x:c r="C12" s="38" t="str">
        <x:v>Collaboration</x:v>
      </x:c>
      <x:c r="D12" s="38" t="str">
        <x:v>Host</x:v>
      </x:c>
      <x:c r="E12" s="38" t="str">
        <x:v>LOCKED</x:v>
      </x:c>
      <x:c r="F12" s="38" t="str">
        <x:v>M</x:v>
      </x:c>
      <x:c r="G12" s="38" t="str">
        <x:v>UC-04</x:v>
      </x:c>
      <x:c r="H12" s="38" t="str">
        <x:v>PROPOSED 8.1</x:v>
      </x:c>
      <x:c r="I12" s="38" t="n">
        <x:f>IF(F12="S",1,IF(F12="M",2,IF(F12="L",3,IF(F12="XL",5,0))))</x:f>
        <x:v>2</x:v>
      </x:c>
    </x:row>
    <x:row r="13">
      <x:c r="A13" s="38" t="str">
        <x:v>M11</x:v>
      </x:c>
      <x:c r="B13" s="38" t="str">
        <x:v>Revoke Pending Invitation</x:v>
      </x:c>
      <x:c r="C13" s="38" t="str">
        <x:v>Collaboration</x:v>
      </x:c>
      <x:c r="D13" s="38" t="str">
        <x:v>Host</x:v>
      </x:c>
      <x:c r="E13" s="38" t="str">
        <x:v>LOCKED</x:v>
      </x:c>
      <x:c r="F13" s="38" t="str">
        <x:v>S</x:v>
      </x:c>
      <x:c r="G13" s="38" t="str">
        <x:v>UC-04</x:v>
      </x:c>
      <x:c r="H13" s="38" t="str">
        <x:v>PROPOSED 8.1</x:v>
      </x:c>
      <x:c r="I13" s="38" t="n">
        <x:f>IF(F13="S",1,IF(F13="M",2,IF(F13="L",3,IF(F13="XL",5,0))))</x:f>
        <x:v>1</x:v>
      </x:c>
    </x:row>
    <x:row r="14">
      <x:c r="A14" s="38" t="str">
        <x:v>M12</x:v>
      </x:c>
      <x:c r="B14" s="38" t="str">
        <x:v>Delete Photo to Trash</x:v>
      </x:c>
      <x:c r="C14" s="38" t="str">
        <x:v>Gallery</x:v>
      </x:c>
      <x:c r="D14" s="38" t="str">
        <x:v>Host / can_moderate</x:v>
      </x:c>
      <x:c r="E14" s="38" t="str">
        <x:v>LOCKED</x:v>
      </x:c>
      <x:c r="F14" s="38" t="str">
        <x:v>M</x:v>
      </x:c>
      <x:c r="G14" s="38" t="str">
        <x:v>UC-14</x:v>
      </x:c>
      <x:c r="H14" s="38" t="str">
        <x:v>PROPOSED 8.1</x:v>
      </x:c>
      <x:c r="I14" s="38" t="n">
        <x:f>IF(F14="S",1,IF(F14="M",2,IF(F14="L",3,IF(F14="XL",5,0))))</x:f>
        <x:v>2</x:v>
      </x:c>
    </x:row>
    <x:row r="15">
      <x:c r="A15" s="38" t="str">
        <x:v>M13</x:v>
      </x:c>
      <x:c r="B15" s="38" t="str">
        <x:v>Restore Photo</x:v>
      </x:c>
      <x:c r="C15" s="38" t="str">
        <x:v>Gallery</x:v>
      </x:c>
      <x:c r="D15" s="38" t="str">
        <x:v>Host</x:v>
      </x:c>
      <x:c r="E15" s="38" t="str">
        <x:v>LOCKED</x:v>
      </x:c>
      <x:c r="F15" s="38" t="str">
        <x:v>S</x:v>
      </x:c>
      <x:c r="G15" s="38" t="str">
        <x:v>UC-14</x:v>
      </x:c>
      <x:c r="H15" s="38" t="str">
        <x:v>PROPOSED 8.1</x:v>
      </x:c>
      <x:c r="I15" s="38" t="n">
        <x:f>IF(F15="S",1,IF(F15="M",2,IF(F15="L",3,IF(F15="XL",5,0))))</x:f>
        <x:v>1</x:v>
      </x:c>
    </x:row>
    <x:row r="16">
      <x:c r="A16" s="38" t="str">
        <x:v>M14</x:v>
      </x:c>
      <x:c r="B16" s="38" t="str">
        <x:v>Start ZIP Export</x:v>
      </x:c>
      <x:c r="C16" s="38" t="str">
        <x:v>Export</x:v>
      </x:c>
      <x:c r="D16" s="38" t="str">
        <x:v>Host / can_export_zip</x:v>
      </x:c>
      <x:c r="E16" s="38" t="str">
        <x:v>LOCKED</x:v>
      </x:c>
      <x:c r="F16" s="38" t="str">
        <x:v>M</x:v>
      </x:c>
      <x:c r="G16" s="38" t="str">
        <x:v>UC-18</x:v>
      </x:c>
      <x:c r="H16" s="38" t="str">
        <x:v>PROPOSED 8.1</x:v>
      </x:c>
      <x:c r="I16" s="38" t="n">
        <x:f>IF(F16="S",1,IF(F16="M",2,IF(F16="L",3,IF(F16="XL",5,0))))</x:f>
        <x:v>2</x:v>
      </x:c>
    </x:row>
    <x:row r="17">
      <x:c r="A17" s="38" t="str">
        <x:v>M15</x:v>
      </x:c>
      <x:c r="B17" s="38" t="str">
        <x:v>Retry Failed Export</x:v>
      </x:c>
      <x:c r="C17" s="38" t="str">
        <x:v>Export</x:v>
      </x:c>
      <x:c r="D17" s="38" t="str">
        <x:v>Host / can_export_zip</x:v>
      </x:c>
      <x:c r="E17" s="38" t="str">
        <x:v>UX-DERIVED</x:v>
      </x:c>
      <x:c r="F17" s="38" t="str">
        <x:v>S</x:v>
      </x:c>
      <x:c r="G17" s="38" t="str">
        <x:v>UC-18</x:v>
      </x:c>
      <x:c r="H17" s="38" t="str">
        <x:v>PROPOSED 8.1</x:v>
      </x:c>
      <x:c r="I17" s="38" t="n">
        <x:f>IF(F17="S",1,IF(F17="M",2,IF(F17="L",3,IF(F17="XL",5,0))))</x:f>
        <x:v>1</x:v>
      </x:c>
    </x:row>
    <x:row r="18">
      <x:c r="A18" s="38" t="str">
        <x:v>M16</x:v>
      </x:c>
      <x:c r="B18" s="38" t="str">
        <x:v>Upgrade Package Confirmation</x:v>
      </x:c>
      <x:c r="C18" s="38" t="str">
        <x:v>Payment</x:v>
      </x:c>
      <x:c r="D18" s="38" t="str">
        <x:v>Host</x:v>
      </x:c>
      <x:c r="E18" s="38" t="str">
        <x:v>LOCKED</x:v>
      </x:c>
      <x:c r="F18" s="38" t="str">
        <x:v>M</x:v>
      </x:c>
      <x:c r="G18" s="38" t="str">
        <x:v>UC-17</x:v>
      </x:c>
      <x:c r="H18" s="38" t="str">
        <x:v>PROPOSED 8.1</x:v>
      </x:c>
      <x:c r="I18" s="38" t="n">
        <x:f>IF(F18="S",1,IF(F18="M",2,IF(F18="L",3,IF(F18="XL",5,0))))</x:f>
        <x:v>2</x:v>
      </x:c>
    </x:row>
    <x:row r="19">
      <x:c r="A19" s="38" t="str">
        <x:v>M17</x:v>
      </x:c>
      <x:c r="B19" s="38" t="str">
        <x:v>Reschedule Confirmation</x:v>
      </x:c>
      <x:c r="C19" s="38" t="str">
        <x:v>Schedule</x:v>
      </x:c>
      <x:c r="D19" s="38" t="str">
        <x:v>Host</x:v>
      </x:c>
      <x:c r="E19" s="38" t="str">
        <x:v>LOCKED</x:v>
      </x:c>
      <x:c r="F19" s="38" t="str">
        <x:v>L</x:v>
      </x:c>
      <x:c r="G19" s="38" t="str">
        <x:v>UC-19</x:v>
      </x:c>
      <x:c r="H19" s="38" t="str">
        <x:v>PROPOSED 8.1</x:v>
      </x:c>
      <x:c r="I19" s="38" t="n">
        <x:f>IF(F19="S",1,IF(F19="M",2,IF(F19="L",3,IF(F19="XL",5,0))))</x:f>
        <x:v>3</x:v>
      </x:c>
    </x:row>
    <x:row r="20">
      <x:c r="A20" s="38" t="str">
        <x:v>M18</x:v>
      </x:c>
      <x:c r="B20" s="38" t="str">
        <x:v>Reschedule — Pending Payment Resolution</x:v>
      </x:c>
      <x:c r="C20" s="38" t="str">
        <x:v>Schedule</x:v>
      </x:c>
      <x:c r="D20" s="38" t="str">
        <x:v>Host</x:v>
      </x:c>
      <x:c r="E20" s="38" t="str">
        <x:v>LOCKED</x:v>
      </x:c>
      <x:c r="F20" s="38" t="str">
        <x:v>L</x:v>
      </x:c>
      <x:c r="G20" s="38" t="str">
        <x:v>UC-19</x:v>
      </x:c>
      <x:c r="H20" s="38" t="str">
        <x:v>PROPOSED 8.1</x:v>
      </x:c>
      <x:c r="I20" s="38" t="n">
        <x:f>IF(F20="S",1,IF(F20="M",2,IF(F20="L",3,IF(F20="XL",5,0))))</x:f>
        <x:v>3</x:v>
      </x:c>
    </x:row>
    <x:row r="21">
      <x:c r="A21" s="38" t="str">
        <x:v>M19</x:v>
      </x:c>
      <x:c r="B21" s="38" t="str">
        <x:v>Activate Recovery</x:v>
      </x:c>
      <x:c r="C21" s="38" t="str">
        <x:v>Lifecycle</x:v>
      </x:c>
      <x:c r="D21" s="38" t="str">
        <x:v>Host</x:v>
      </x:c>
      <x:c r="E21" s="38" t="str">
        <x:v>LOCKED</x:v>
      </x:c>
      <x:c r="F21" s="38" t="str">
        <x:v>L</x:v>
      </x:c>
      <x:c r="G21" s="38" t="str">
        <x:v>UC-22</x:v>
      </x:c>
      <x:c r="H21" s="38" t="str">
        <x:v>PROPOSED 8.1</x:v>
      </x:c>
      <x:c r="I21" s="38" t="n">
        <x:f>IF(F21="S",1,IF(F21="M",2,IF(F21="L",3,IF(F21="XL",5,0))))</x:f>
        <x:v>3</x:v>
      </x:c>
    </x:row>
    <x:row r="22">
      <x:c r="A22" s="38" t="str">
        <x:v>M20</x:v>
      </x:c>
      <x:c r="B22" s="38" t="str">
        <x:v>Recovery Window Ending</x:v>
      </x:c>
      <x:c r="C22" s="38" t="str">
        <x:v>Lifecycle</x:v>
      </x:c>
      <x:c r="D22" s="38" t="str">
        <x:v>Host</x:v>
      </x:c>
      <x:c r="E22" s="38" t="str">
        <x:v>UX-DERIVED</x:v>
      </x:c>
      <x:c r="F22" s="38" t="str">
        <x:v>S</x:v>
      </x:c>
      <x:c r="G22" s="38" t="str">
        <x:v>UC-22</x:v>
      </x:c>
      <x:c r="H22" s="38" t="str">
        <x:v>PROPOSED 8.1</x:v>
      </x:c>
      <x:c r="I22" s="38" t="n">
        <x:f>IF(F22="S",1,IF(F22="M",2,IF(F22="L",3,IF(F22="XL",5,0))))</x:f>
        <x:v>1</x:v>
      </x:c>
    </x:row>
    <x:row r="23">
      <x:c r="A23" s="38" t="str">
        <x:v>M21</x:v>
      </x:c>
      <x:c r="B23" s="38" t="str">
        <x:v>Camera Permission Help</x:v>
      </x:c>
      <x:c r="C23" s="38" t="str">
        <x:v>Guest Camera</x:v>
      </x:c>
      <x:c r="D23" s="38" t="str">
        <x:v>Guest</x:v>
      </x:c>
      <x:c r="E23" s="38" t="str">
        <x:v>UX-DERIVED</x:v>
      </x:c>
      <x:c r="F23" s="38" t="str">
        <x:v>M</x:v>
      </x:c>
      <x:c r="G23" s="38" t="str">
        <x:v>UC-10; NFR-05</x:v>
      </x:c>
      <x:c r="H23" s="38" t="str">
        <x:v>PROPOSED 8.1</x:v>
      </x:c>
      <x:c r="I23" s="38" t="n">
        <x:f>IF(F23="S",1,IF(F23="M",2,IF(F23="L",3,IF(F23="XL",5,0))))</x:f>
        <x:v>2</x:v>
      </x:c>
    </x:row>
    <x:row r="24">
      <x:c r="A24" s="38" t="str">
        <x:v>M22</x:v>
      </x:c>
      <x:c r="B24" s="38" t="str">
        <x:v>Leave / Cancel Current Capture</x:v>
      </x:c>
      <x:c r="C24" s="38" t="str">
        <x:v>Guest Camera</x:v>
      </x:c>
      <x:c r="D24" s="38" t="str">
        <x:v>Guest</x:v>
      </x:c>
      <x:c r="E24" s="38" t="str">
        <x:v>UX-DERIVED</x:v>
      </x:c>
      <x:c r="F24" s="38" t="str">
        <x:v>S</x:v>
      </x:c>
      <x:c r="G24" s="38" t="str">
        <x:v>UC-11/12</x:v>
      </x:c>
      <x:c r="H24" s="38" t="str">
        <x:v>PROPOSED 8.1</x:v>
      </x:c>
      <x:c r="I24" s="38" t="n">
        <x:f>IF(F24="S",1,IF(F24="M",2,IF(F24="L",3,IF(F24="XL",5,0))))</x:f>
        <x:v>1</x:v>
      </x:c>
    </x:row>
    <x:row r="25">
      <x:c r="A25" s="38" t="str">
        <x:v>M23</x:v>
      </x:c>
      <x:c r="B25" s="38" t="str">
        <x:v>Suspend User</x:v>
      </x:c>
      <x:c r="C25" s="38" t="str">
        <x:v>Admin Users</x:v>
      </x:c>
      <x:c r="D25" s="38" t="str">
        <x:v>Superadmin</x:v>
      </x:c>
      <x:c r="E25" s="38" t="str">
        <x:v>LOCKED</x:v>
      </x:c>
      <x:c r="F25" s="38" t="str">
        <x:v>M</x:v>
      </x:c>
      <x:c r="G25" s="38" t="str">
        <x:v>UC-20</x:v>
      </x:c>
      <x:c r="H25" s="38" t="str">
        <x:v>PROPOSED 8.1</x:v>
      </x:c>
      <x:c r="I25" s="38" t="n">
        <x:f>IF(F25="S",1,IF(F25="M",2,IF(F25="L",3,IF(F25="XL",5,0))))</x:f>
        <x:v>2</x:v>
      </x:c>
    </x:row>
    <x:row r="26">
      <x:c r="A26" s="38" t="str">
        <x:v>M24</x:v>
      </x:c>
      <x:c r="B26" s="38" t="str">
        <x:v>Reactivate User</x:v>
      </x:c>
      <x:c r="C26" s="38" t="str">
        <x:v>Admin Users</x:v>
      </x:c>
      <x:c r="D26" s="38" t="str">
        <x:v>Superadmin</x:v>
      </x:c>
      <x:c r="E26" s="38" t="str">
        <x:v>LOCKED</x:v>
      </x:c>
      <x:c r="F26" s="38" t="str">
        <x:v>S</x:v>
      </x:c>
      <x:c r="G26" s="38" t="str">
        <x:v>UC-20</x:v>
      </x:c>
      <x:c r="H26" s="38" t="str">
        <x:v>PROPOSED 8.1</x:v>
      </x:c>
      <x:c r="I26" s="38" t="n">
        <x:f>IF(F26="S",1,IF(F26="M",2,IF(F26="L",3,IF(F26="XL",5,0))))</x:f>
        <x:v>1</x:v>
      </x:c>
    </x:row>
    <x:row r="27">
      <x:c r="A27" s="38" t="str">
        <x:v>M25</x:v>
      </x:c>
      <x:c r="B27" s="38" t="str">
        <x:v>Revoke User Sessions</x:v>
      </x:c>
      <x:c r="C27" s="38" t="str">
        <x:v>Admin Users</x:v>
      </x:c>
      <x:c r="D27" s="38" t="str">
        <x:v>Superadmin</x:v>
      </x:c>
      <x:c r="E27" s="38" t="str">
        <x:v>LOCKED</x:v>
      </x:c>
      <x:c r="F27" s="38" t="str">
        <x:v>M</x:v>
      </x:c>
      <x:c r="G27" s="38" t="str">
        <x:v>UC-20</x:v>
      </x:c>
      <x:c r="H27" s="38" t="str">
        <x:v>PROPOSED 8.1</x:v>
      </x:c>
      <x:c r="I27" s="38" t="n">
        <x:f>IF(F27="S",1,IF(F27="M",2,IF(F27="L",3,IF(F27="XL",5,0))))</x:f>
        <x:v>2</x:v>
      </x:c>
    </x:row>
    <x:row r="28">
      <x:c r="A28" s="38" t="str">
        <x:v>M26</x:v>
      </x:c>
      <x:c r="B28" s="38" t="str">
        <x:v>Create Package Version Confirmation</x:v>
      </x:c>
      <x:c r="C28" s="38" t="str">
        <x:v>Admin Catalog</x:v>
      </x:c>
      <x:c r="D28" s="38" t="str">
        <x:v>Superadmin</x:v>
      </x:c>
      <x:c r="E28" s="38" t="str">
        <x:v>LOCKED</x:v>
      </x:c>
      <x:c r="F28" s="38" t="str">
        <x:v>M</x:v>
      </x:c>
      <x:c r="G28" s="38" t="str">
        <x:v>UC-20</x:v>
      </x:c>
      <x:c r="H28" s="38" t="str">
        <x:v>PROPOSED 8.1</x:v>
      </x:c>
      <x:c r="I28" s="38" t="n">
        <x:f>IF(F28="S",1,IF(F28="M",2,IF(F28="L",3,IF(F28="XL",5,0))))</x:f>
        <x:v>2</x:v>
      </x:c>
    </x:row>
    <x:row r="29">
      <x:c r="A29" s="38" t="str">
        <x:v>M27</x:v>
      </x:c>
      <x:c r="B29" s="38" t="str">
        <x:v>Retire Package / Version</x:v>
      </x:c>
      <x:c r="C29" s="38" t="str">
        <x:v>Admin Catalog</x:v>
      </x:c>
      <x:c r="D29" s="38" t="str">
        <x:v>Superadmin</x:v>
      </x:c>
      <x:c r="E29" s="38" t="str">
        <x:v>LOCKED</x:v>
      </x:c>
      <x:c r="F29" s="38" t="str">
        <x:v>M</x:v>
      </x:c>
      <x:c r="G29" s="38" t="str">
        <x:v>UC-20</x:v>
      </x:c>
      <x:c r="H29" s="38" t="str">
        <x:v>PROPOSED 8.1</x:v>
      </x:c>
      <x:c r="I29" s="38" t="n">
        <x:f>IF(F29="S",1,IF(F29="M",2,IF(F29="L",3,IF(F29="XL",5,0))))</x:f>
        <x:v>2</x:v>
      </x:c>
    </x:row>
    <x:row r="30">
      <x:c r="A30" s="38" t="str">
        <x:v>M28</x:v>
      </x:c>
      <x:c r="B30" s="38" t="str">
        <x:v>Reconcile Payment</x:v>
      </x:c>
      <x:c r="C30" s="38" t="str">
        <x:v>Admin Payment</x:v>
      </x:c>
      <x:c r="D30" s="38" t="str">
        <x:v>Superadmin</x:v>
      </x:c>
      <x:c r="E30" s="38" t="str">
        <x:v>LOCKED</x:v>
      </x:c>
      <x:c r="F30" s="38" t="str">
        <x:v>M</x:v>
      </x:c>
      <x:c r="G30" s="38" t="str">
        <x:v>UC-20</x:v>
      </x:c>
      <x:c r="H30" s="38" t="str">
        <x:v>PROPOSED 8.1</x:v>
      </x:c>
      <x:c r="I30" s="38" t="n">
        <x:f>IF(F30="S",1,IF(F30="M",2,IF(F30="L",3,IF(F30="XL",5,0))))</x:f>
        <x:v>2</x:v>
      </x:c>
    </x:row>
    <x:row r="31">
      <x:c r="A31" s="38" t="str">
        <x:v>M29</x:v>
      </x:c>
      <x:c r="B31" s="38" t="str">
        <x:v>Step-up MFA</x:v>
      </x:c>
      <x:c r="C31" s="38" t="str">
        <x:v>Admin Security</x:v>
      </x:c>
      <x:c r="D31" s="38" t="str">
        <x:v>Superadmin</x:v>
      </x:c>
      <x:c r="E31" s="38" t="str">
        <x:v>LOCKED</x:v>
      </x:c>
      <x:c r="F31" s="38" t="str">
        <x:v>L</x:v>
      </x:c>
      <x:c r="G31" s="38" t="str">
        <x:v>UC-26</x:v>
      </x:c>
      <x:c r="H31" s="38" t="str">
        <x:v>PROPOSED 8.1</x:v>
      </x:c>
      <x:c r="I31" s="38" t="n">
        <x:f>IF(F31="S",1,IF(F31="M",2,IF(F31="L",3,IF(F31="XL",5,0))))</x:f>
        <x:v>3</x:v>
      </x:c>
    </x:row>
    <x:row r="32">
      <x:c r="A32" s="38" t="str">
        <x:v>M30</x:v>
      </x:c>
      <x:c r="B32" s="38" t="str">
        <x:v>Sensitive Access Reason &amp; Grant</x:v>
      </x:c>
      <x:c r="C32" s="38" t="str">
        <x:v>Admin Security</x:v>
      </x:c>
      <x:c r="D32" s="38" t="str">
        <x:v>Superadmin</x:v>
      </x:c>
      <x:c r="E32" s="38" t="str">
        <x:v>LOCKED</x:v>
      </x:c>
      <x:c r="F32" s="38" t="str">
        <x:v>L</x:v>
      </x:c>
      <x:c r="G32" s="38" t="str">
        <x:v>UC-26</x:v>
      </x:c>
      <x:c r="H32" s="38" t="str">
        <x:v>PROPOSED 8.1</x:v>
      </x:c>
      <x:c r="I32" s="38" t="n">
        <x:f>IF(F32="S",1,IF(F32="M",2,IF(F32="L",3,IF(F32="XL",5,0))))</x:f>
        <x:v>3</x:v>
      </x:c>
    </x:row>
    <x:row r="33">
      <x:c r="A33" s="38" t="str">
        <x:v>M31</x:v>
      </x:c>
      <x:c r="B33" s="38" t="str">
        <x:v>Create Operational Hold</x:v>
      </x:c>
      <x:c r="C33" s="38" t="str">
        <x:v>Admin Hold</x:v>
      </x:c>
      <x:c r="D33" s="38" t="str">
        <x:v>Superadmin</x:v>
      </x:c>
      <x:c r="E33" s="38" t="str">
        <x:v>LOCKED</x:v>
      </x:c>
      <x:c r="F33" s="38" t="str">
        <x:v>L</x:v>
      </x:c>
      <x:c r="G33" s="38" t="str">
        <x:v>UC-26</x:v>
      </x:c>
      <x:c r="H33" s="38" t="str">
        <x:v>PROPOSED 8.1</x:v>
      </x:c>
      <x:c r="I33" s="38" t="n">
        <x:f>IF(F33="S",1,IF(F33="M",2,IF(F33="L",3,IF(F33="XL",5,0))))</x:f>
        <x:v>3</x:v>
      </x:c>
    </x:row>
    <x:row r="34">
      <x:c r="A34" s="38" t="str">
        <x:v>M32</x:v>
      </x:c>
      <x:c r="B34" s="38" t="str">
        <x:v>Release Operational Hold</x:v>
      </x:c>
      <x:c r="C34" s="38" t="str">
        <x:v>Admin Hold</x:v>
      </x:c>
      <x:c r="D34" s="38" t="str">
        <x:v>Superadmin</x:v>
      </x:c>
      <x:c r="E34" s="38" t="str">
        <x:v>LOCKED</x:v>
      </x:c>
      <x:c r="F34" s="38" t="str">
        <x:v>M</x:v>
      </x:c>
      <x:c r="G34" s="38" t="str">
        <x:v>UC-26</x:v>
      </x:c>
      <x:c r="H34" s="38" t="str">
        <x:v>PROPOSED 8.1</x:v>
      </x:c>
      <x:c r="I34" s="38" t="n">
        <x:f>IF(F34="S",1,IF(F34="M",2,IF(F34="L",3,IF(F34="XL",5,0))))</x:f>
        <x:v>2</x:v>
      </x:c>
    </x:row>
    <x:row r="35">
      <x:c r="A35" s="38" t="str">
        <x:v>M33</x:v>
      </x:c>
      <x:c r="B35" s="38" t="str">
        <x:v>Operational Config Change Confirmation</x:v>
      </x:c>
      <x:c r="C35" s="38" t="str">
        <x:v>Admin Config</x:v>
      </x:c>
      <x:c r="D35" s="38" t="str">
        <x:v>Superadmin</x:v>
      </x:c>
      <x:c r="E35" s="38" t="str">
        <x:v>LOCKED</x:v>
      </x:c>
      <x:c r="F35" s="38" t="str">
        <x:v>M</x:v>
      </x:c>
      <x:c r="G35" s="38" t="str">
        <x:v>UC-20</x:v>
      </x:c>
      <x:c r="H35" s="38" t="str">
        <x:v>PROPOSED 8.1</x:v>
      </x:c>
      <x:c r="I35" s="38" t="n">
        <x:f>IF(F35="S",1,IF(F35="M",2,IF(F35="L",3,IF(F35="XL",5,0))))</x:f>
        <x:v>2</x:v>
      </x:c>
    </x:row>
    <x:row r="36">
      <x:c r="A36" s="38" t="str">
        <x:v>M34</x:v>
      </x:c>
      <x:c r="B36" s="38" t="str">
        <x:v>Unsaved Changes</x:v>
      </x:c>
      <x:c r="C36" s="38" t="str">
        <x:v>Cross-cutting</x:v>
      </x:c>
      <x:c r="D36" s="38" t="str">
        <x:v>Host / WO/EO / Admin</x:v>
      </x:c>
      <x:c r="E36" s="38" t="str">
        <x:v>UX-DERIVED</x:v>
      </x:c>
      <x:c r="F36" s="38" t="str">
        <x:v>S</x:v>
      </x:c>
      <x:c r="G36" s="38" t="str">
        <x:v>Professional UX</x:v>
      </x:c>
      <x:c r="H36" s="38" t="str">
        <x:v>PROPOSED 8.1</x:v>
      </x:c>
      <x:c r="I36" s="38" t="n">
        <x:f>IF(F36="S",1,IF(F36="M",2,IF(F36="L",3,IF(F36="XL",5,0))))</x:f>
        <x:v>1</x:v>
      </x:c>
    </x:row>
    <x:row r="37">
      <x:c r="A37" s="38" t="str">
        <x:v>M35</x:v>
      </x:c>
      <x:c r="B37" s="38" t="str">
        <x:v>Session Expired</x:v>
      </x:c>
      <x:c r="C37" s="38" t="str">
        <x:v>Cross-cutting</x:v>
      </x:c>
      <x:c r="D37" s="38" t="str">
        <x:v>Authenticated actors</x:v>
      </x:c>
      <x:c r="E37" s="38" t="str">
        <x:v>UX-DERIVED</x:v>
      </x:c>
      <x:c r="F37" s="38" t="str">
        <x:v>S</x:v>
      </x:c>
      <x:c r="G37" s="38" t="str">
        <x:v>NFR-01</x:v>
      </x:c>
      <x:c r="H37" s="38" t="str">
        <x:v>PROPOSED 8.1</x:v>
      </x:c>
      <x:c r="I37" s="38" t="n">
        <x:f>IF(F37="S",1,IF(F37="M",2,IF(F37="L",3,IF(F37="XL",5,0))))</x:f>
        <x:v>1</x:v>
      </x:c>
    </x:row>
  </x:sheetData>
  <x:mergeCells>
    <x:mergeCell ref="A1:I1"/>
  </x:mergeCells>
  <x:dataValidations count="2">
    <x:dataValidation type="list" sqref="F3:F37">
      <x:formula1>"S,M,L,XL"</x:formula1>
    </x:dataValidation>
    <x:dataValidation type="list" sqref="H3:H37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288ebb3aaa48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Drawers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D01</x:v>
      </x:c>
      <x:c r="B3" s="38" t="str">
        <x:v>Mobile Global Navigation</x:v>
      </x:c>
      <x:c r="C3" s="38" t="str">
        <x:v>Navigation</x:v>
      </x:c>
      <x:c r="D3" s="38" t="str">
        <x:v>All app actors</x:v>
      </x:c>
      <x:c r="E3" s="38" t="str">
        <x:v>UX-DERIVED</x:v>
      </x:c>
      <x:c r="F3" s="38" t="str">
        <x:v>M</x:v>
      </x:c>
      <x:c r="G3" s="38" t="str">
        <x:v>Mobile-first</x:v>
      </x:c>
      <x:c r="H3" s="38" t="str">
        <x:v>PROPOSED 8.1</x:v>
      </x:c>
      <x:c r="I3" s="38" t="n">
        <x:f>IF(F3="S",1,IF(F3="M",2,IF(F3="L",3,IF(F3="XL",5,0))))</x:f>
        <x:v>2</x:v>
      </x:c>
    </x:row>
    <x:row r="4">
      <x:c r="A4" s="38" t="str">
        <x:v>D02</x:v>
      </x:c>
      <x:c r="B4" s="38" t="str">
        <x:v>Album Filter &amp; Sort</x:v>
      </x:c>
      <x:c r="C4" s="38" t="str">
        <x:v>Host/WO Lists</x:v>
      </x:c>
      <x:c r="D4" s="38" t="str">
        <x:v>Host / WO/EO</x:v>
      </x:c>
      <x:c r="E4" s="38" t="str">
        <x:v>UX-DERIVED</x:v>
      </x:c>
      <x:c r="F4" s="38" t="str">
        <x:v>M</x:v>
      </x:c>
      <x:c r="G4" s="38" t="str">
        <x:v>UC-21</x:v>
      </x:c>
      <x:c r="H4" s="38" t="str">
        <x:v>PROPOSED 8.1</x:v>
      </x:c>
      <x:c r="I4" s="38" t="n">
        <x:f>IF(F4="S",1,IF(F4="M",2,IF(F4="L",3,IF(F4="XL",5,0))))</x:f>
        <x:v>2</x:v>
      </x:c>
    </x:row>
    <x:row r="5">
      <x:c r="A5" s="38" t="str">
        <x:v>D03</x:v>
      </x:c>
      <x:c r="B5" s="38" t="str">
        <x:v>Gallery Filter &amp; Sort</x:v>
      </x:c>
      <x:c r="C5" s="38" t="str">
        <x:v>Gallery</x:v>
      </x:c>
      <x:c r="D5" s="38" t="str">
        <x:v>Host / Guest / WO</x:v>
      </x:c>
      <x:c r="E5" s="38" t="str">
        <x:v>UX-DERIVED</x:v>
      </x:c>
      <x:c r="F5" s="38" t="str">
        <x:v>M</x:v>
      </x:c>
      <x:c r="G5" s="38" t="str">
        <x:v>UC-13/21</x:v>
      </x:c>
      <x:c r="H5" s="38" t="str">
        <x:v>PROPOSED 8.1</x:v>
      </x:c>
      <x:c r="I5" s="38" t="n">
        <x:f>IF(F5="S",1,IF(F5="M",2,IF(F5="L",3,IF(F5="XL",5,0))))</x:f>
        <x:v>2</x:v>
      </x:c>
    </x:row>
    <x:row r="6">
      <x:c r="A6" s="38" t="str">
        <x:v>D04</x:v>
      </x:c>
      <x:c r="B6" s="38" t="str">
        <x:v>Photo Information</x:v>
      </x:c>
      <x:c r="C6" s="38" t="str">
        <x:v>Gallery</x:v>
      </x:c>
      <x:c r="D6" s="38" t="str">
        <x:v>Host / Guest / WO</x:v>
      </x:c>
      <x:c r="E6" s="38" t="str">
        <x:v>UX-DERIVED</x:v>
      </x:c>
      <x:c r="F6" s="38" t="str">
        <x:v>M</x:v>
      </x:c>
      <x:c r="G6" s="38" t="str">
        <x:v>UC-13/14/16</x:v>
      </x:c>
      <x:c r="H6" s="38" t="str">
        <x:v>PROPOSED 8.1</x:v>
      </x:c>
      <x:c r="I6" s="38" t="n">
        <x:f>IF(F6="S",1,IF(F6="M",2,IF(F6="L",3,IF(F6="XL",5,0))))</x:f>
        <x:v>2</x:v>
      </x:c>
    </x:row>
    <x:row r="7">
      <x:c r="A7" s="38" t="str">
        <x:v>D05</x:v>
      </x:c>
      <x:c r="B7" s="38" t="str">
        <x:v>Mobile Share Sheet</x:v>
      </x:c>
      <x:c r="C7" s="38" t="str">
        <x:v>Sharing</x:v>
      </x:c>
      <x:c r="D7" s="38" t="str">
        <x:v>Host / Guest</x:v>
      </x:c>
      <x:c r="E7" s="38" t="str">
        <x:v>UX-DERIVED</x:v>
      </x:c>
      <x:c r="F7" s="38" t="str">
        <x:v>M</x:v>
      </x:c>
      <x:c r="G7" s="38" t="str">
        <x:v>UC-08/16</x:v>
      </x:c>
      <x:c r="H7" s="38" t="str">
        <x:v>PROPOSED 8.1</x:v>
      </x:c>
      <x:c r="I7" s="38" t="n">
        <x:f>IF(F7="S",1,IF(F7="M",2,IF(F7="L",3,IF(F7="XL",5,0))))</x:f>
        <x:v>2</x:v>
      </x:c>
    </x:row>
    <x:row r="8">
      <x:c r="A8" s="38" t="str">
        <x:v>D06</x:v>
      </x:c>
      <x:c r="B8" s="38" t="str">
        <x:v>QR Sharing Bottom Sheet</x:v>
      </x:c>
      <x:c r="C8" s="38" t="str">
        <x:v>Sharing</x:v>
      </x:c>
      <x:c r="D8" s="38" t="str">
        <x:v>Host</x:v>
      </x:c>
      <x:c r="E8" s="38" t="str">
        <x:v>UX-DERIVED</x:v>
      </x:c>
      <x:c r="F8" s="38" t="str">
        <x:v>M</x:v>
      </x:c>
      <x:c r="G8" s="38" t="str">
        <x:v>UC-08</x:v>
      </x:c>
      <x:c r="H8" s="38" t="str">
        <x:v>PROPOSED 8.1</x:v>
      </x:c>
      <x:c r="I8" s="38" t="n">
        <x:f>IF(F8="S",1,IF(F8="M",2,IF(F8="L",3,IF(F8="XL",5,0))))</x:f>
        <x:v>2</x:v>
      </x:c>
    </x:row>
    <x:row r="9">
      <x:c r="A9" s="38" t="str">
        <x:v>D07</x:v>
      </x:c>
      <x:c r="B9" s="38" t="str">
        <x:v>Package Comparison</x:v>
      </x:c>
      <x:c r="C9" s="38" t="str">
        <x:v>Payment</x:v>
      </x:c>
      <x:c r="D9" s="38" t="str">
        <x:v>Host</x:v>
      </x:c>
      <x:c r="E9" s="38" t="str">
        <x:v>UX-DERIVED</x:v>
      </x:c>
      <x:c r="F9" s="38" t="str">
        <x:v>M</x:v>
      </x:c>
      <x:c r="G9" s="38" t="str">
        <x:v>UC-07/17</x:v>
      </x:c>
      <x:c r="H9" s="38" t="str">
        <x:v>PROPOSED 8.1</x:v>
      </x:c>
      <x:c r="I9" s="38" t="n">
        <x:f>IF(F9="S",1,IF(F9="M",2,IF(F9="L",3,IF(F9="XL",5,0))))</x:f>
        <x:v>2</x:v>
      </x:c>
    </x:row>
    <x:row r="10">
      <x:c r="A10" s="38" t="str">
        <x:v>D08</x:v>
      </x:c>
      <x:c r="B10" s="38" t="str">
        <x:v>Activity Filters</x:v>
      </x:c>
      <x:c r="C10" s="38" t="str">
        <x:v>Operations</x:v>
      </x:c>
      <x:c r="D10" s="38" t="str">
        <x:v>Host / Superadmin</x:v>
      </x:c>
      <x:c r="E10" s="38" t="str">
        <x:v>UX-DERIVED</x:v>
      </x:c>
      <x:c r="F10" s="38" t="str">
        <x:v>S</x:v>
      </x:c>
      <x:c r="G10" s="38" t="str">
        <x:v>UC-21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D09</x:v>
      </x:c>
      <x:c r="B11" s="38" t="str">
        <x:v>Notification / Action Center</x:v>
      </x:c>
      <x:c r="C11" s="38" t="str">
        <x:v>Operations</x:v>
      </x:c>
      <x:c r="D11" s="38" t="str">
        <x:v>Host / WO/EO</x:v>
      </x:c>
      <x:c r="E11" s="38" t="str">
        <x:v>UX-DERIVED</x:v>
      </x:c>
      <x:c r="F11" s="38" t="str">
        <x:v>L</x:v>
      </x:c>
      <x:c r="G11" s="38" t="str">
        <x:v>UC-21/22</x:v>
      </x:c>
      <x:c r="H11" s="38" t="str">
        <x:v>PROPOSED 8.1</x:v>
      </x:c>
      <x:c r="I11" s="38" t="n">
        <x:f>IF(F11="S",1,IF(F11="M",2,IF(F11="L",3,IF(F11="XL",5,0))))</x:f>
        <x:v>3</x:v>
      </x:c>
    </x:row>
    <x:row r="12">
      <x:c r="A12" s="38" t="str">
        <x:v>D10</x:v>
      </x:c>
      <x:c r="B12" s="38" t="str">
        <x:v>Contextual Help</x:v>
      </x:c>
      <x:c r="C12" s="38" t="str">
        <x:v>Cross-cutting</x:v>
      </x:c>
      <x:c r="D12" s="38" t="str">
        <x:v>All</x:v>
      </x:c>
      <x:c r="E12" s="38" t="str">
        <x:v>UX-DERIVED</x:v>
      </x:c>
      <x:c r="F12" s="38" t="str">
        <x:v>M</x:v>
      </x:c>
      <x:c r="G12" s="38" t="str">
        <x:v>UX differentiation</x:v>
      </x:c>
      <x:c r="H12" s="38" t="str">
        <x:v>PROPOSED 8.1</x:v>
      </x:c>
      <x:c r="I12" s="38" t="n">
        <x:f>IF(F12="S",1,IF(F12="M",2,IF(F12="L",3,IF(F12="XL",5,0))))</x:f>
        <x:v>2</x:v>
      </x:c>
    </x:row>
  </x:sheetData>
  <x:mergeCells>
    <x:mergeCell ref="A1:I1"/>
  </x:mergeCells>
  <x:dataValidations count="2">
    <x:dataValidation type="list" sqref="F3:F12">
      <x:formula1>"S,M,L,XL"</x:formula1>
    </x:dataValidation>
    <x:dataValidation type="list" sqref="H3:H12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9f448fdcc246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Popovers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P01</x:v>
      </x:c>
      <x:c r="B3" s="38" t="str">
        <x:v>Account Menu</x:v>
      </x:c>
      <x:c r="C3" s="38" t="str">
        <x:v>Navigation</x:v>
      </x:c>
      <x:c r="D3" s="38" t="str">
        <x:v>Host / WO/EO / Admin</x:v>
      </x:c>
      <x:c r="E3" s="38" t="str">
        <x:v>UX-DERIVED</x:v>
      </x:c>
      <x:c r="F3" s="38" t="str">
        <x:v>S</x:v>
      </x:c>
      <x:c r="G3" s="38" t="str">
        <x:v>Navigation</x:v>
      </x:c>
      <x:c r="H3" s="38" t="str">
        <x:v>PROPOSED 8.1</x:v>
      </x:c>
      <x:c r="I3" s="38" t="n">
        <x:f>IF(F3="S",1,IF(F3="M",2,IF(F3="L",3,IF(F3="XL",5,0))))</x:f>
        <x:v>1</x:v>
      </x:c>
    </x:row>
    <x:row r="4">
      <x:c r="A4" s="38" t="str">
        <x:v>P02</x:v>
      </x:c>
      <x:c r="B4" s="38" t="str">
        <x:v>Language Selector</x:v>
      </x:c>
      <x:c r="C4" s="38" t="str">
        <x:v>Localization</x:v>
      </x:c>
      <x:c r="D4" s="38" t="str">
        <x:v>All</x:v>
      </x:c>
      <x:c r="E4" s="38" t="str">
        <x:v>LOCKED UX</x:v>
      </x:c>
      <x:c r="F4" s="38" t="str">
        <x:v>S</x:v>
      </x:c>
      <x:c r="G4" s="38" t="str">
        <x:v>UC-24</x:v>
      </x:c>
      <x:c r="H4" s="38" t="str">
        <x:v>PROPOSED 8.1</x:v>
      </x:c>
      <x:c r="I4" s="38" t="n">
        <x:f>IF(F4="S",1,IF(F4="M",2,IF(F4="L",3,IF(F4="XL",5,0))))</x:f>
        <x:v>1</x:v>
      </x:c>
    </x:row>
    <x:row r="5">
      <x:c r="A5" s="38" t="str">
        <x:v>P03</x:v>
      </x:c>
      <x:c r="B5" s="38" t="str">
        <x:v>Album Quick Actions</x:v>
      </x:c>
      <x:c r="C5" s="38" t="str">
        <x:v>Host</x:v>
      </x:c>
      <x:c r="D5" s="38" t="str">
        <x:v>Host</x:v>
      </x:c>
      <x:c r="E5" s="38" t="str">
        <x:v>UX-DERIVED</x:v>
      </x:c>
      <x:c r="F5" s="38" t="str">
        <x:v>S</x:v>
      </x:c>
      <x:c r="G5" s="38" t="str">
        <x:v>UC-21</x:v>
      </x:c>
      <x:c r="H5" s="38" t="str">
        <x:v>PROPOSED 8.1</x:v>
      </x:c>
      <x:c r="I5" s="38" t="n">
        <x:f>IF(F5="S",1,IF(F5="M",2,IF(F5="L",3,IF(F5="XL",5,0))))</x:f>
        <x:v>1</x:v>
      </x:c>
    </x:row>
    <x:row r="6">
      <x:c r="A6" s="38" t="str">
        <x:v>P04</x:v>
      </x:c>
      <x:c r="B6" s="38" t="str">
        <x:v>Photo Action Menu</x:v>
      </x:c>
      <x:c r="C6" s="38" t="str">
        <x:v>Gallery</x:v>
      </x:c>
      <x:c r="D6" s="38" t="str">
        <x:v>Host / WO/EO / Guest</x:v>
      </x:c>
      <x:c r="E6" s="38" t="str">
        <x:v>UX-DERIVED</x:v>
      </x:c>
      <x:c r="F6" s="38" t="str">
        <x:v>S</x:v>
      </x:c>
      <x:c r="G6" s="38" t="str">
        <x:v>UC-14/16</x:v>
      </x:c>
      <x:c r="H6" s="38" t="str">
        <x:v>PROPOSED 8.1</x:v>
      </x:c>
      <x:c r="I6" s="38" t="n">
        <x:f>IF(F6="S",1,IF(F6="M",2,IF(F6="L",3,IF(F6="XL",5,0))))</x:f>
        <x:v>1</x:v>
      </x:c>
    </x:row>
    <x:row r="7">
      <x:c r="A7" s="38" t="str">
        <x:v>P05</x:v>
      </x:c>
      <x:c r="B7" s="38" t="str">
        <x:v>Gallery Sort Menu</x:v>
      </x:c>
      <x:c r="C7" s="38" t="str">
        <x:v>Gallery</x:v>
      </x:c>
      <x:c r="D7" s="38" t="str">
        <x:v>Host / Guest</x:v>
      </x:c>
      <x:c r="E7" s="38" t="str">
        <x:v>LOCKED UX</x:v>
      </x:c>
      <x:c r="F7" s="38" t="str">
        <x:v>S</x:v>
      </x:c>
      <x:c r="G7" s="38" t="str">
        <x:v>UC-13</x:v>
      </x:c>
      <x:c r="H7" s="38" t="str">
        <x:v>PROPOSED 8.1</x:v>
      </x:c>
      <x:c r="I7" s="38" t="n">
        <x:f>IF(F7="S",1,IF(F7="M",2,IF(F7="L",3,IF(F7="XL",5,0))))</x:f>
        <x:v>1</x:v>
      </x:c>
    </x:row>
    <x:row r="8">
      <x:c r="A8" s="38" t="str">
        <x:v>P06</x:v>
      </x:c>
      <x:c r="B8" s="38" t="str">
        <x:v>Table Column / Filter Menu</x:v>
      </x:c>
      <x:c r="C8" s="38" t="str">
        <x:v>Data Tables</x:v>
      </x:c>
      <x:c r="D8" s="38" t="str">
        <x:v>Admin / Host</x:v>
      </x:c>
      <x:c r="E8" s="38" t="str">
        <x:v>UX-DERIVED</x:v>
      </x:c>
      <x:c r="F8" s="38" t="str">
        <x:v>S</x:v>
      </x:c>
      <x:c r="G8" s="38" t="str">
        <x:v>UC-21</x:v>
      </x:c>
      <x:c r="H8" s="38" t="str">
        <x:v>PROPOSED 8.1</x:v>
      </x:c>
      <x:c r="I8" s="38" t="n">
        <x:f>IF(F8="S",1,IF(F8="M",2,IF(F8="L",3,IF(F8="XL",5,0))))</x:f>
        <x:v>1</x:v>
      </x:c>
    </x:row>
    <x:row r="9">
      <x:c r="A9" s="38" t="str">
        <x:v>P07</x:v>
      </x:c>
      <x:c r="B9" s="38" t="str">
        <x:v>Timezone Explanation</x:v>
      </x:c>
      <x:c r="C9" s="38" t="str">
        <x:v>Schedule</x:v>
      </x:c>
      <x:c r="D9" s="38" t="str">
        <x:v>Host</x:v>
      </x:c>
      <x:c r="E9" s="38" t="str">
        <x:v>UX-DERIVED</x:v>
      </x:c>
      <x:c r="F9" s="38" t="str">
        <x:v>S</x:v>
      </x:c>
      <x:c r="G9" s="38" t="str">
        <x:v>UC-03/19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P08</x:v>
      </x:c>
      <x:c r="B10" s="38" t="str">
        <x:v>Quota Explanation</x:v>
      </x:c>
      <x:c r="C10" s="38" t="str">
        <x:v>Capture/Quota</x:v>
      </x:c>
      <x:c r="D10" s="38" t="str">
        <x:v>Host / WO/EO</x:v>
      </x:c>
      <x:c r="E10" s="38" t="str">
        <x:v>UX-DERIVED</x:v>
      </x:c>
      <x:c r="F10" s="38" t="str">
        <x:v>S</x:v>
      </x:c>
      <x:c r="G10" s="38" t="str">
        <x:v>UC-12/21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P09</x:v>
      </x:c>
      <x:c r="B11" s="38" t="str">
        <x:v>Permission Explanation</x:v>
      </x:c>
      <x:c r="C11" s="38" t="str">
        <x:v>Collaboration</x:v>
      </x:c>
      <x:c r="D11" s="38" t="str">
        <x:v>Host / WO/EO</x:v>
      </x:c>
      <x:c r="E11" s="38" t="str">
        <x:v>UX-DERIVED</x:v>
      </x:c>
      <x:c r="F11" s="38" t="str">
        <x:v>S</x:v>
      </x:c>
      <x:c r="G11" s="38" t="str">
        <x:v>Permission Model</x:v>
      </x:c>
      <x:c r="H11" s="38" t="str">
        <x:v>PROPOSED 8.1</x:v>
      </x:c>
      <x:c r="I11" s="38" t="n">
        <x:f>IF(F11="S",1,IF(F11="M",2,IF(F11="L",3,IF(F11="XL",5,0))))</x:f>
        <x:v>1</x:v>
      </x:c>
    </x:row>
    <x:row r="12">
      <x:c r="A12" s="38" t="str">
        <x:v>P10</x:v>
      </x:c>
      <x:c r="B12" s="38" t="str">
        <x:v>Payment Status Explanation</x:v>
      </x:c>
      <x:c r="C12" s="38" t="str">
        <x:v>Payment</x:v>
      </x:c>
      <x:c r="D12" s="38" t="str">
        <x:v>Host / Admin</x:v>
      </x:c>
      <x:c r="E12" s="38" t="str">
        <x:v>UX-DERIVED</x:v>
      </x:c>
      <x:c r="F12" s="38" t="str">
        <x:v>S</x:v>
      </x:c>
      <x:c r="G12" s="38" t="str">
        <x:v>UC-07/20</x:v>
      </x:c>
      <x:c r="H12" s="38" t="str">
        <x:v>PROPOSED 8.1</x:v>
      </x:c>
      <x:c r="I12" s="38" t="n">
        <x:f>IF(F12="S",1,IF(F12="M",2,IF(F12="L",3,IF(F12="XL",5,0))))</x:f>
        <x:v>1</x:v>
      </x:c>
    </x:row>
    <x:row r="13">
      <x:c r="A13" s="38" t="str">
        <x:v>P11</x:v>
      </x:c>
      <x:c r="B13" s="38" t="str">
        <x:v>Export Status Explanation</x:v>
      </x:c>
      <x:c r="C13" s="38" t="str">
        <x:v>Export</x:v>
      </x:c>
      <x:c r="D13" s="38" t="str">
        <x:v>Host / WO/EO</x:v>
      </x:c>
      <x:c r="E13" s="38" t="str">
        <x:v>UX-DERIVED</x:v>
      </x:c>
      <x:c r="F13" s="38" t="str">
        <x:v>S</x:v>
      </x:c>
      <x:c r="G13" s="38" t="str">
        <x:v>UC-18</x:v>
      </x:c>
      <x:c r="H13" s="38" t="str">
        <x:v>PROPOSED 8.1</x:v>
      </x:c>
      <x:c r="I13" s="38" t="n">
        <x:f>IF(F13="S",1,IF(F13="M",2,IF(F13="L",3,IF(F13="XL",5,0))))</x:f>
        <x:v>1</x:v>
      </x:c>
    </x:row>
    <x:row r="14">
      <x:c r="A14" s="38" t="str">
        <x:v>P12</x:v>
      </x:c>
      <x:c r="B14" s="38" t="str">
        <x:v>Admin Sensitive Access Timer</x:v>
      </x:c>
      <x:c r="C14" s="38" t="str">
        <x:v>Admin Security</x:v>
      </x:c>
      <x:c r="D14" s="38" t="str">
        <x:v>Superadmin</x:v>
      </x:c>
      <x:c r="E14" s="38" t="str">
        <x:v>UX-DERIVED</x:v>
      </x:c>
      <x:c r="F14" s="38" t="str">
        <x:v>S</x:v>
      </x:c>
      <x:c r="G14" s="38" t="str">
        <x:v>UC-26</x:v>
      </x:c>
      <x:c r="H14" s="38" t="str">
        <x:v>PROPOSED 8.1</x:v>
      </x:c>
      <x:c r="I14" s="38" t="n">
        <x:f>IF(F14="S",1,IF(F14="M",2,IF(F14="L",3,IF(F14="XL",5,0))))</x:f>
        <x:v>1</x:v>
      </x:c>
    </x:row>
  </x:sheetData>
  <x:mergeCells>
    <x:mergeCell ref="A1:I1"/>
  </x:mergeCells>
  <x:dataValidations count="2">
    <x:dataValidation type="list" sqref="F3:F14">
      <x:formula1>"S,M,L,XL"</x:formula1>
    </x:dataValidation>
    <x:dataValidation type="list" sqref="H3:H14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354759110e4a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Alerts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A01</x:v>
      </x:c>
      <x:c r="B3" s="38" t="str">
        <x:v>Setup Incomplete Banner</x:v>
      </x:c>
      <x:c r="C3" s="38" t="str">
        <x:v>Album Setup</x:v>
      </x:c>
      <x:c r="D3" s="38" t="str">
        <x:v>Host / can_setup</x:v>
      </x:c>
      <x:c r="E3" s="38" t="str">
        <x:v>UX-DERIVED</x:v>
      </x:c>
      <x:c r="F3" s="38" t="str">
        <x:v>S</x:v>
      </x:c>
      <x:c r="G3" s="38" t="str">
        <x:v>UC-03/05</x:v>
      </x:c>
      <x:c r="H3" s="38" t="str">
        <x:v>PROPOSED 8.1</x:v>
      </x:c>
      <x:c r="I3" s="38" t="n">
        <x:f>IF(F3="S",1,IF(F3="M",2,IF(F3="L",3,IF(F3="XL",5,0))))</x:f>
        <x:v>1</x:v>
      </x:c>
    </x:row>
    <x:row r="4">
      <x:c r="A4" s="38" t="str">
        <x:v>A02</x:v>
      </x:c>
      <x:c r="B4" s="38" t="str">
        <x:v>Setup Requires Reconfirmation</x:v>
      </x:c>
      <x:c r="C4" s="38" t="str">
        <x:v>Album Setup</x:v>
      </x:c>
      <x:c r="D4" s="38" t="str">
        <x:v>Host</x:v>
      </x:c>
      <x:c r="E4" s="38" t="str">
        <x:v>LOCKED UX</x:v>
      </x:c>
      <x:c r="F4" s="38" t="str">
        <x:v>M</x:v>
      </x:c>
      <x:c r="G4" s="38" t="str">
        <x:v>API Contract</x:v>
      </x:c>
      <x:c r="H4" s="38" t="str">
        <x:v>PROPOSED 8.1</x:v>
      </x:c>
      <x:c r="I4" s="38" t="n">
        <x:f>IF(F4="S",1,IF(F4="M",2,IF(F4="L",3,IF(F4="XL",5,0))))</x:f>
        <x:v>2</x:v>
      </x:c>
    </x:row>
    <x:row r="5">
      <x:c r="A5" s="38" t="str">
        <x:v>A03</x:v>
      </x:c>
      <x:c r="B5" s="38" t="str">
        <x:v>Payment Pending Banner</x:v>
      </x:c>
      <x:c r="C5" s="38" t="str">
        <x:v>Payment</x:v>
      </x:c>
      <x:c r="D5" s="38" t="str">
        <x:v>Host</x:v>
      </x:c>
      <x:c r="E5" s="38" t="str">
        <x:v>LOCKED UX</x:v>
      </x:c>
      <x:c r="F5" s="38" t="str">
        <x:v>M</x:v>
      </x:c>
      <x:c r="G5" s="38" t="str">
        <x:v>UC-07</x:v>
      </x:c>
      <x:c r="H5" s="38" t="str">
        <x:v>PROPOSED 8.1</x:v>
      </x:c>
      <x:c r="I5" s="38" t="n">
        <x:f>IF(F5="S",1,IF(F5="M",2,IF(F5="L",3,IF(F5="XL",5,0))))</x:f>
        <x:v>2</x:v>
      </x:c>
    </x:row>
    <x:row r="6">
      <x:c r="A6" s="38" t="str">
        <x:v>A04</x:v>
      </x:c>
      <x:c r="B6" s="38" t="str">
        <x:v>Payment Cutoff Approaching</x:v>
      </x:c>
      <x:c r="C6" s="38" t="str">
        <x:v>Payment</x:v>
      </x:c>
      <x:c r="D6" s="38" t="str">
        <x:v>Host</x:v>
      </x:c>
      <x:c r="E6" s="38" t="str">
        <x:v>UX-DERIVED FROM LOCKED RULE</x:v>
      </x:c>
      <x:c r="F6" s="38" t="str">
        <x:v>M</x:v>
      </x:c>
      <x:c r="G6" s="38" t="str">
        <x:v>UC-07/17</x:v>
      </x:c>
      <x:c r="H6" s="38" t="str">
        <x:v>PROPOSED 8.1</x:v>
      </x:c>
      <x:c r="I6" s="38" t="n">
        <x:f>IF(F6="S",1,IF(F6="M",2,IF(F6="L",3,IF(F6="XL",5,0))))</x:f>
        <x:v>2</x:v>
      </x:c>
    </x:row>
    <x:row r="7">
      <x:c r="A7" s="38" t="str">
        <x:v>A05</x:v>
      </x:c>
      <x:c r="B7" s="38" t="str">
        <x:v>Quota Near Full</x:v>
      </x:c>
      <x:c r="C7" s="38" t="str">
        <x:v>Capture/Quota</x:v>
      </x:c>
      <x:c r="D7" s="38" t="str">
        <x:v>Host / WO/EO / Guest</x:v>
      </x:c>
      <x:c r="E7" s="38" t="str">
        <x:v>UX-DERIVED</x:v>
      </x:c>
      <x:c r="F7" s="38" t="str">
        <x:v>M</x:v>
      </x:c>
      <x:c r="G7" s="38" t="str">
        <x:v>UC-12</x:v>
      </x:c>
      <x:c r="H7" s="38" t="str">
        <x:v>PROPOSED 8.1</x:v>
      </x:c>
      <x:c r="I7" s="38" t="n">
        <x:f>IF(F7="S",1,IF(F7="M",2,IF(F7="L",3,IF(F7="XL",5,0))))</x:f>
        <x:v>2</x:v>
      </x:c>
    </x:row>
    <x:row r="8">
      <x:c r="A8" s="38" t="str">
        <x:v>A06</x:v>
      </x:c>
      <x:c r="B8" s="38" t="str">
        <x:v>Quota Full</x:v>
      </x:c>
      <x:c r="C8" s="38" t="str">
        <x:v>Capture/Quota</x:v>
      </x:c>
      <x:c r="D8" s="38" t="str">
        <x:v>Host / Guest</x:v>
      </x:c>
      <x:c r="E8" s="38" t="str">
        <x:v>LOCKED UX</x:v>
      </x:c>
      <x:c r="F8" s="38" t="str">
        <x:v>M</x:v>
      </x:c>
      <x:c r="G8" s="38" t="str">
        <x:v>UC-12</x:v>
      </x:c>
      <x:c r="H8" s="38" t="str">
        <x:v>PROPOSED 8.1</x:v>
      </x:c>
      <x:c r="I8" s="38" t="n">
        <x:f>IF(F8="S",1,IF(F8="M",2,IF(F8="L",3,IF(F8="XL",5,0))))</x:f>
        <x:v>2</x:v>
      </x:c>
    </x:row>
    <x:row r="9">
      <x:c r="A9" s="38" t="str">
        <x:v>A07</x:v>
      </x:c>
      <x:c r="B9" s="38" t="str">
        <x:v>Capture Opens Soon</x:v>
      </x:c>
      <x:c r="C9" s="38" t="str">
        <x:v>Schedule</x:v>
      </x:c>
      <x:c r="D9" s="38" t="str">
        <x:v>Host / Guest</x:v>
      </x:c>
      <x:c r="E9" s="38" t="str">
        <x:v>UX-DERIVED</x:v>
      </x:c>
      <x:c r="F9" s="38" t="str">
        <x:v>S</x:v>
      </x:c>
      <x:c r="G9" s="38" t="str">
        <x:v>Schedule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A08</x:v>
      </x:c>
      <x:c r="B10" s="38" t="str">
        <x:v>Capture Closed</x:v>
      </x:c>
      <x:c r="C10" s="38" t="str">
        <x:v>Schedule</x:v>
      </x:c>
      <x:c r="D10" s="38" t="str">
        <x:v>Host / Guest</x:v>
      </x:c>
      <x:c r="E10" s="38" t="str">
        <x:v>LOCKED UX</x:v>
      </x:c>
      <x:c r="F10" s="38" t="str">
        <x:v>S</x:v>
      </x:c>
      <x:c r="G10" s="38" t="str">
        <x:v>UC-12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A09</x:v>
      </x:c>
      <x:c r="B11" s="38" t="str">
        <x:v>Reveal Pending</x:v>
      </x:c>
      <x:c r="C11" s="38" t="str">
        <x:v>Gallery</x:v>
      </x:c>
      <x:c r="D11" s="38" t="str">
        <x:v>Host / Guest</x:v>
      </x:c>
      <x:c r="E11" s="38" t="str">
        <x:v>LOCKED UX</x:v>
      </x:c>
      <x:c r="F11" s="38" t="str">
        <x:v>S</x:v>
      </x:c>
      <x:c r="G11" s="38" t="str">
        <x:v>UC-13</x:v>
      </x:c>
      <x:c r="H11" s="38" t="str">
        <x:v>PROPOSED 8.1</x:v>
      </x:c>
      <x:c r="I11" s="38" t="n">
        <x:f>IF(F11="S",1,IF(F11="M",2,IF(F11="L",3,IF(F11="XL",5,0))))</x:f>
        <x:v>1</x:v>
      </x:c>
    </x:row>
    <x:row r="12">
      <x:c r="A12" s="38" t="str">
        <x:v>A10</x:v>
      </x:c>
      <x:c r="B12" s="38" t="str">
        <x:v>Access Link Rotated</x:v>
      </x:c>
      <x:c r="C12" s="38" t="str">
        <x:v>Sharing</x:v>
      </x:c>
      <x:c r="D12" s="38" t="str">
        <x:v>Host / Guest</x:v>
      </x:c>
      <x:c r="E12" s="38" t="str">
        <x:v>UX-DERIVED</x:v>
      </x:c>
      <x:c r="F12" s="38" t="str">
        <x:v>M</x:v>
      </x:c>
      <x:c r="G12" s="38" t="str">
        <x:v>UC-08</x:v>
      </x:c>
      <x:c r="H12" s="38" t="str">
        <x:v>PROPOSED 8.1</x:v>
      </x:c>
      <x:c r="I12" s="38" t="n">
        <x:f>IF(F12="S",1,IF(F12="M",2,IF(F12="L",3,IF(F12="XL",5,0))))</x:f>
        <x:v>2</x:v>
      </x:c>
    </x:row>
    <x:row r="13">
      <x:c r="A13" s="38" t="str">
        <x:v>A11</x:v>
      </x:c>
      <x:c r="B13" s="38" t="str">
        <x:v>Collaborator Permission Changed / Revoked</x:v>
      </x:c>
      <x:c r="C13" s="38" t="str">
        <x:v>Collaboration</x:v>
      </x:c>
      <x:c r="D13" s="38" t="str">
        <x:v>WO/EO</x:v>
      </x:c>
      <x:c r="E13" s="38" t="str">
        <x:v>UX-DERIVED</x:v>
      </x:c>
      <x:c r="F13" s="38" t="str">
        <x:v>M</x:v>
      </x:c>
      <x:c r="G13" s="38" t="str">
        <x:v>UC-04</x:v>
      </x:c>
      <x:c r="H13" s="38" t="str">
        <x:v>PROPOSED 8.1</x:v>
      </x:c>
      <x:c r="I13" s="38" t="n">
        <x:f>IF(F13="S",1,IF(F13="M",2,IF(F13="L",3,IF(F13="XL",5,0))))</x:f>
        <x:v>2</x:v>
      </x:c>
    </x:row>
    <x:row r="14">
      <x:c r="A14" s="38" t="str">
        <x:v>A12</x:v>
      </x:c>
      <x:c r="B14" s="38" t="str">
        <x:v>Export Ready</x:v>
      </x:c>
      <x:c r="C14" s="38" t="str">
        <x:v>Export</x:v>
      </x:c>
      <x:c r="D14" s="38" t="str">
        <x:v>Host / WO/EO</x:v>
      </x:c>
      <x:c r="E14" s="38" t="str">
        <x:v>LOCKED UX</x:v>
      </x:c>
      <x:c r="F14" s="38" t="str">
        <x:v>M</x:v>
      </x:c>
      <x:c r="G14" s="38" t="str">
        <x:v>UC-18</x:v>
      </x:c>
      <x:c r="H14" s="38" t="str">
        <x:v>PROPOSED 8.1</x:v>
      </x:c>
      <x:c r="I14" s="38" t="n">
        <x:f>IF(F14="S",1,IF(F14="M",2,IF(F14="L",3,IF(F14="XL",5,0))))</x:f>
        <x:v>2</x:v>
      </x:c>
    </x:row>
    <x:row r="15">
      <x:c r="A15" s="38" t="str">
        <x:v>A13</x:v>
      </x:c>
      <x:c r="B15" s="38" t="str">
        <x:v>Export Invalidated / Expired</x:v>
      </x:c>
      <x:c r="C15" s="38" t="str">
        <x:v>Export</x:v>
      </x:c>
      <x:c r="D15" s="38" t="str">
        <x:v>Host / WO/EO</x:v>
      </x:c>
      <x:c r="E15" s="38" t="str">
        <x:v>LOCKED UX</x:v>
      </x:c>
      <x:c r="F15" s="38" t="str">
        <x:v>M</x:v>
      </x:c>
      <x:c r="G15" s="38" t="str">
        <x:v>UC-18</x:v>
      </x:c>
      <x:c r="H15" s="38" t="str">
        <x:v>PROPOSED 8.1</x:v>
      </x:c>
      <x:c r="I15" s="38" t="n">
        <x:f>IF(F15="S",1,IF(F15="M",2,IF(F15="L",3,IF(F15="XL",5,0))))</x:f>
        <x:v>2</x:v>
      </x:c>
    </x:row>
    <x:row r="16">
      <x:c r="A16" s="38" t="str">
        <x:v>A14</x:v>
      </x:c>
      <x:c r="B16" s="38" t="str">
        <x:v>Retention Deadline Warning</x:v>
      </x:c>
      <x:c r="C16" s="38" t="str">
        <x:v>Lifecycle</x:v>
      </x:c>
      <x:c r="D16" s="38" t="str">
        <x:v>Host</x:v>
      </x:c>
      <x:c r="E16" s="38" t="str">
        <x:v>LOCKED UX</x:v>
      </x:c>
      <x:c r="F16" s="38" t="str">
        <x:v>M</x:v>
      </x:c>
      <x:c r="G16" s="38" t="str">
        <x:v>UC-22</x:v>
      </x:c>
      <x:c r="H16" s="38" t="str">
        <x:v>PROPOSED 8.1</x:v>
      </x:c>
      <x:c r="I16" s="38" t="n">
        <x:f>IF(F16="S",1,IF(F16="M",2,IF(F16="L",3,IF(F16="XL",5,0))))</x:f>
        <x:v>2</x:v>
      </x:c>
    </x:row>
    <x:row r="17">
      <x:c r="A17" s="38" t="str">
        <x:v>A15</x:v>
      </x:c>
      <x:c r="B17" s="38" t="str">
        <x:v>Recovery Active</x:v>
      </x:c>
      <x:c r="C17" s="38" t="str">
        <x:v>Lifecycle</x:v>
      </x:c>
      <x:c r="D17" s="38" t="str">
        <x:v>Host</x:v>
      </x:c>
      <x:c r="E17" s="38" t="str">
        <x:v>LOCKED UX</x:v>
      </x:c>
      <x:c r="F17" s="38" t="str">
        <x:v>M</x:v>
      </x:c>
      <x:c r="G17" s="38" t="str">
        <x:v>UC-22</x:v>
      </x:c>
      <x:c r="H17" s="38" t="str">
        <x:v>PROPOSED 8.1</x:v>
      </x:c>
      <x:c r="I17" s="38" t="n">
        <x:f>IF(F17="S",1,IF(F17="M",2,IF(F17="L",3,IF(F17="XL",5,0))))</x:f>
        <x:v>2</x:v>
      </x:c>
    </x:row>
    <x:row r="18">
      <x:c r="A18" s="38" t="str">
        <x:v>A16</x:v>
      </x:c>
      <x:c r="B18" s="38" t="str">
        <x:v>Operational Hold Active</x:v>
      </x:c>
      <x:c r="C18" s="38" t="str">
        <x:v>Admin Hold</x:v>
      </x:c>
      <x:c r="D18" s="38" t="str">
        <x:v>Host / Guest / Admin</x:v>
      </x:c>
      <x:c r="E18" s="38" t="str">
        <x:v>LOCKED UX</x:v>
      </x:c>
      <x:c r="F18" s="38" t="str">
        <x:v>L</x:v>
      </x:c>
      <x:c r="G18" s="38" t="str">
        <x:v>UC-26</x:v>
      </x:c>
      <x:c r="H18" s="38" t="str">
        <x:v>PROPOSED 8.1</x:v>
      </x:c>
      <x:c r="I18" s="38" t="n">
        <x:f>IF(F18="S",1,IF(F18="M",2,IF(F18="L",3,IF(F18="XL",5,0))))</x:f>
        <x:v>3</x:v>
      </x:c>
    </x:row>
    <x:row r="19">
      <x:c r="A19" s="38" t="str">
        <x:v>A17</x:v>
      </x:c>
      <x:c r="B19" s="38" t="str">
        <x:v>Offline / Connectivity Banner</x:v>
      </x:c>
      <x:c r="C19" s="38" t="str">
        <x:v>System</x:v>
      </x:c>
      <x:c r="D19" s="38" t="str">
        <x:v>All</x:v>
      </x:c>
      <x:c r="E19" s="38" t="str">
        <x:v>UX-DERIVED</x:v>
      </x:c>
      <x:c r="F19" s="38" t="str">
        <x:v>M</x:v>
      </x:c>
      <x:c r="G19" s="38" t="str">
        <x:v>NFR-04/05</x:v>
      </x:c>
      <x:c r="H19" s="38" t="str">
        <x:v>PROPOSED 8.1</x:v>
      </x:c>
      <x:c r="I19" s="38" t="n">
        <x:f>IF(F19="S",1,IF(F19="M",2,IF(F19="L",3,IF(F19="XL",5,0))))</x:f>
        <x:v>2</x:v>
      </x:c>
    </x:row>
    <x:row r="20">
      <x:c r="A20" s="38" t="str">
        <x:v>A18</x:v>
      </x:c>
      <x:c r="B20" s="38" t="str">
        <x:v>Sensitive Access Expiry Banner</x:v>
      </x:c>
      <x:c r="C20" s="38" t="str">
        <x:v>Admin Security</x:v>
      </x:c>
      <x:c r="D20" s="38" t="str">
        <x:v>Superadmin</x:v>
      </x:c>
      <x:c r="E20" s="38" t="str">
        <x:v>UX-DERIVED</x:v>
      </x:c>
      <x:c r="F20" s="38" t="str">
        <x:v>M</x:v>
      </x:c>
      <x:c r="G20" s="38" t="str">
        <x:v>UC-26</x:v>
      </x:c>
      <x:c r="H20" s="38" t="str">
        <x:v>PROPOSED 8.1</x:v>
      </x:c>
      <x:c r="I20" s="38" t="n">
        <x:f>IF(F20="S",1,IF(F20="M",2,IF(F20="L",3,IF(F20="XL",5,0))))</x:f>
        <x:v>2</x:v>
      </x:c>
    </x:row>
  </x:sheetData>
  <x:mergeCells>
    <x:mergeCell ref="A1:I1"/>
  </x:mergeCells>
  <x:dataValidations count="2">
    <x:dataValidation type="list" sqref="F3:F20">
      <x:formula1>"S,M,L,XL"</x:formula1>
    </x:dataValidation>
    <x:dataValidation type="list" sqref="H3:H20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63226c16942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Toasts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T01</x:v>
      </x:c>
      <x:c r="B3" s="38" t="str">
        <x:v>Settings Saved</x:v>
      </x:c>
      <x:c r="C3" s="38" t="str">
        <x:v>Cross-cutting</x:v>
      </x:c>
      <x:c r="D3" s="38" t="str">
        <x:v>Host / WO/EO / Admin</x:v>
      </x:c>
      <x:c r="E3" s="38" t="str">
        <x:v>UX-DERIVED</x:v>
      </x:c>
      <x:c r="F3" s="38" t="str">
        <x:v>S</x:v>
      </x:c>
      <x:c r="G3" s="38" t="str">
        <x:v>Forms</x:v>
      </x:c>
      <x:c r="H3" s="38" t="str">
        <x:v>PROPOSED 8.1</x:v>
      </x:c>
      <x:c r="I3" s="38" t="n">
        <x:f>IF(F3="S",1,IF(F3="M",2,IF(F3="L",3,IF(F3="XL",5,0))))</x:f>
        <x:v>1</x:v>
      </x:c>
    </x:row>
    <x:row r="4">
      <x:c r="A4" s="38" t="str">
        <x:v>T02</x:v>
      </x:c>
      <x:c r="B4" s="38" t="str">
        <x:v>Link Copied</x:v>
      </x:c>
      <x:c r="C4" s="38" t="str">
        <x:v>Sharing</x:v>
      </x:c>
      <x:c r="D4" s="38" t="str">
        <x:v>Host / Guest</x:v>
      </x:c>
      <x:c r="E4" s="38" t="str">
        <x:v>UX-DERIVED</x:v>
      </x:c>
      <x:c r="F4" s="38" t="str">
        <x:v>S</x:v>
      </x:c>
      <x:c r="G4" s="38" t="str">
        <x:v>Sharing</x:v>
      </x:c>
      <x:c r="H4" s="38" t="str">
        <x:v>PROPOSED 8.1</x:v>
      </x:c>
      <x:c r="I4" s="38" t="n">
        <x:f>IF(F4="S",1,IF(F4="M",2,IF(F4="L",3,IF(F4="XL",5,0))))</x:f>
        <x:v>1</x:v>
      </x:c>
    </x:row>
    <x:row r="5">
      <x:c r="A5" s="38" t="str">
        <x:v>T03</x:v>
      </x:c>
      <x:c r="B5" s="38" t="str">
        <x:v>Invitation Sent</x:v>
      </x:c>
      <x:c r="C5" s="38" t="str">
        <x:v>Collaboration</x:v>
      </x:c>
      <x:c r="D5" s="38" t="str">
        <x:v>Host</x:v>
      </x:c>
      <x:c r="E5" s="38" t="str">
        <x:v>UX-DERIVED</x:v>
      </x:c>
      <x:c r="F5" s="38" t="str">
        <x:v>S</x:v>
      </x:c>
      <x:c r="G5" s="38" t="str">
        <x:v>UC-04</x:v>
      </x:c>
      <x:c r="H5" s="38" t="str">
        <x:v>PROPOSED 8.1</x:v>
      </x:c>
      <x:c r="I5" s="38" t="n">
        <x:f>IF(F5="S",1,IF(F5="M",2,IF(F5="L",3,IF(F5="XL",5,0))))</x:f>
        <x:v>1</x:v>
      </x:c>
    </x:row>
    <x:row r="6">
      <x:c r="A6" s="38" t="str">
        <x:v>T04</x:v>
      </x:c>
      <x:c r="B6" s="38" t="str">
        <x:v>Permissions Updated</x:v>
      </x:c>
      <x:c r="C6" s="38" t="str">
        <x:v>Collaboration</x:v>
      </x:c>
      <x:c r="D6" s="38" t="str">
        <x:v>Host</x:v>
      </x:c>
      <x:c r="E6" s="38" t="str">
        <x:v>UX-DERIVED</x:v>
      </x:c>
      <x:c r="F6" s="38" t="str">
        <x:v>S</x:v>
      </x:c>
      <x:c r="G6" s="38" t="str">
        <x:v>UC-04</x:v>
      </x:c>
      <x:c r="H6" s="38" t="str">
        <x:v>PROPOSED 8.1</x:v>
      </x:c>
      <x:c r="I6" s="38" t="n">
        <x:f>IF(F6="S",1,IF(F6="M",2,IF(F6="L",3,IF(F6="XL",5,0))))</x:f>
        <x:v>1</x:v>
      </x:c>
    </x:row>
    <x:row r="7">
      <x:c r="A7" s="38" t="str">
        <x:v>T05</x:v>
      </x:c>
      <x:c r="B7" s="38" t="str">
        <x:v>Collaborator Revoked</x:v>
      </x:c>
      <x:c r="C7" s="38" t="str">
        <x:v>Collaboration</x:v>
      </x:c>
      <x:c r="D7" s="38" t="str">
        <x:v>Host</x:v>
      </x:c>
      <x:c r="E7" s="38" t="str">
        <x:v>UX-DERIVED</x:v>
      </x:c>
      <x:c r="F7" s="38" t="str">
        <x:v>S</x:v>
      </x:c>
      <x:c r="G7" s="38" t="str">
        <x:v>UC-04</x:v>
      </x:c>
      <x:c r="H7" s="38" t="str">
        <x:v>PROPOSED 8.1</x:v>
      </x:c>
      <x:c r="I7" s="38" t="n">
        <x:f>IF(F7="S",1,IF(F7="M",2,IF(F7="L",3,IF(F7="XL",5,0))))</x:f>
        <x:v>1</x:v>
      </x:c>
    </x:row>
    <x:row r="8">
      <x:c r="A8" s="38" t="str">
        <x:v>T06</x:v>
      </x:c>
      <x:c r="B8" s="38" t="str">
        <x:v>Photo Approved</x:v>
      </x:c>
      <x:c r="C8" s="38" t="str">
        <x:v>Gallery</x:v>
      </x:c>
      <x:c r="D8" s="38" t="str">
        <x:v>Host / can_moderate</x:v>
      </x:c>
      <x:c r="E8" s="38" t="str">
        <x:v>UX-DERIVED</x:v>
      </x:c>
      <x:c r="F8" s="38" t="str">
        <x:v>S</x:v>
      </x:c>
      <x:c r="G8" s="38" t="str">
        <x:v>UC-14</x:v>
      </x:c>
      <x:c r="H8" s="38" t="str">
        <x:v>PROPOSED 8.1</x:v>
      </x:c>
      <x:c r="I8" s="38" t="n">
        <x:f>IF(F8="S",1,IF(F8="M",2,IF(F8="L",3,IF(F8="XL",5,0))))</x:f>
        <x:v>1</x:v>
      </x:c>
    </x:row>
    <x:row r="9">
      <x:c r="A9" s="38" t="str">
        <x:v>T07</x:v>
      </x:c>
      <x:c r="B9" s="38" t="str">
        <x:v>Photo Hidden / Unhidden</x:v>
      </x:c>
      <x:c r="C9" s="38" t="str">
        <x:v>Gallery</x:v>
      </x:c>
      <x:c r="D9" s="38" t="str">
        <x:v>Host / can_moderate</x:v>
      </x:c>
      <x:c r="E9" s="38" t="str">
        <x:v>UX-DERIVED</x:v>
      </x:c>
      <x:c r="F9" s="38" t="str">
        <x:v>S</x:v>
      </x:c>
      <x:c r="G9" s="38" t="str">
        <x:v>UC-14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T08</x:v>
      </x:c>
      <x:c r="B10" s="38" t="str">
        <x:v>Photo Moved to Trash</x:v>
      </x:c>
      <x:c r="C10" s="38" t="str">
        <x:v>Gallery</x:v>
      </x:c>
      <x:c r="D10" s="38" t="str">
        <x:v>Host / can_moderate</x:v>
      </x:c>
      <x:c r="E10" s="38" t="str">
        <x:v>UX-DERIVED</x:v>
      </x:c>
      <x:c r="F10" s="38" t="str">
        <x:v>S</x:v>
      </x:c>
      <x:c r="G10" s="38" t="str">
        <x:v>UC-14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T09</x:v>
      </x:c>
      <x:c r="B11" s="38" t="str">
        <x:v>Photo Restored</x:v>
      </x:c>
      <x:c r="C11" s="38" t="str">
        <x:v>Gallery</x:v>
      </x:c>
      <x:c r="D11" s="38" t="str">
        <x:v>Host</x:v>
      </x:c>
      <x:c r="E11" s="38" t="str">
        <x:v>UX-DERIVED</x:v>
      </x:c>
      <x:c r="F11" s="38" t="str">
        <x:v>S</x:v>
      </x:c>
      <x:c r="G11" s="38" t="str">
        <x:v>UC-14</x:v>
      </x:c>
      <x:c r="H11" s="38" t="str">
        <x:v>PROPOSED 8.1</x:v>
      </x:c>
      <x:c r="I11" s="38" t="n">
        <x:f>IF(F11="S",1,IF(F11="M",2,IF(F11="L",3,IF(F11="XL",5,0))))</x:f>
        <x:v>1</x:v>
      </x:c>
    </x:row>
    <x:row r="12">
      <x:c r="A12" s="38" t="str">
        <x:v>T10</x:v>
      </x:c>
      <x:c r="B12" s="38" t="str">
        <x:v>Like Added</x:v>
      </x:c>
      <x:c r="C12" s="38" t="str">
        <x:v>Gallery</x:v>
      </x:c>
      <x:c r="D12" s="38" t="str">
        <x:v>Guest</x:v>
      </x:c>
      <x:c r="E12" s="38" t="str">
        <x:v>UX-DERIVED</x:v>
      </x:c>
      <x:c r="F12" s="38" t="str">
        <x:v>S</x:v>
      </x:c>
      <x:c r="G12" s="38" t="str">
        <x:v>UC-15</x:v>
      </x:c>
      <x:c r="H12" s="38" t="str">
        <x:v>PROPOSED 8.1</x:v>
      </x:c>
      <x:c r="I12" s="38" t="n">
        <x:f>IF(F12="S",1,IF(F12="M",2,IF(F12="L",3,IF(F12="XL",5,0))))</x:f>
        <x:v>1</x:v>
      </x:c>
    </x:row>
    <x:row r="13">
      <x:c r="A13" s="38" t="str">
        <x:v>T11</x:v>
      </x:c>
      <x:c r="B13" s="38" t="str">
        <x:v>Export Queued</x:v>
      </x:c>
      <x:c r="C13" s="38" t="str">
        <x:v>Export</x:v>
      </x:c>
      <x:c r="D13" s="38" t="str">
        <x:v>Host / can_export_zip</x:v>
      </x:c>
      <x:c r="E13" s="38" t="str">
        <x:v>UX-DERIVED</x:v>
      </x:c>
      <x:c r="F13" s="38" t="str">
        <x:v>S</x:v>
      </x:c>
      <x:c r="G13" s="38" t="str">
        <x:v>UC-18</x:v>
      </x:c>
      <x:c r="H13" s="38" t="str">
        <x:v>PROPOSED 8.1</x:v>
      </x:c>
      <x:c r="I13" s="38" t="n">
        <x:f>IF(F13="S",1,IF(F13="M",2,IF(F13="L",3,IF(F13="XL",5,0))))</x:f>
        <x:v>1</x:v>
      </x:c>
    </x:row>
    <x:row r="14">
      <x:c r="A14" s="38" t="str">
        <x:v>T12</x:v>
      </x:c>
      <x:c r="B14" s="38" t="str">
        <x:v>Download Starting</x:v>
      </x:c>
      <x:c r="C14" s="38" t="str">
        <x:v>Media</x:v>
      </x:c>
      <x:c r="D14" s="38" t="str">
        <x:v>Host / Guest / WO</x:v>
      </x:c>
      <x:c r="E14" s="38" t="str">
        <x:v>UX-DERIVED</x:v>
      </x:c>
      <x:c r="F14" s="38" t="str">
        <x:v>S</x:v>
      </x:c>
      <x:c r="G14" s="38" t="str">
        <x:v>UC-16/18</x:v>
      </x:c>
      <x:c r="H14" s="38" t="str">
        <x:v>PROPOSED 8.1</x:v>
      </x:c>
      <x:c r="I14" s="38" t="n">
        <x:f>IF(F14="S",1,IF(F14="M",2,IF(F14="L",3,IF(F14="XL",5,0))))</x:f>
        <x:v>1</x:v>
      </x:c>
    </x:row>
    <x:row r="15">
      <x:c r="A15" s="38" t="str">
        <x:v>T13</x:v>
      </x:c>
      <x:c r="B15" s="38" t="str">
        <x:v>Guest Link Rotated</x:v>
      </x:c>
      <x:c r="C15" s="38" t="str">
        <x:v>Sharing</x:v>
      </x:c>
      <x:c r="D15" s="38" t="str">
        <x:v>Host</x:v>
      </x:c>
      <x:c r="E15" s="38" t="str">
        <x:v>UX-DERIVED</x:v>
      </x:c>
      <x:c r="F15" s="38" t="str">
        <x:v>S</x:v>
      </x:c>
      <x:c r="G15" s="38" t="str">
        <x:v>UC-08</x:v>
      </x:c>
      <x:c r="H15" s="38" t="str">
        <x:v>PROPOSED 8.1</x:v>
      </x:c>
      <x:c r="I15" s="38" t="n">
        <x:f>IF(F15="S",1,IF(F15="M",2,IF(F15="L",3,IF(F15="XL",5,0))))</x:f>
        <x:v>1</x:v>
      </x:c>
    </x:row>
    <x:row r="16">
      <x:c r="A16" s="38" t="str">
        <x:v>T14</x:v>
      </x:c>
      <x:c r="B16" s="38" t="str">
        <x:v>PIN Updated</x:v>
      </x:c>
      <x:c r="C16" s="38" t="str">
        <x:v>Guest Access</x:v>
      </x:c>
      <x:c r="D16" s="38" t="str">
        <x:v>Host</x:v>
      </x:c>
      <x:c r="E16" s="38" t="str">
        <x:v>UX-DERIVED</x:v>
      </x:c>
      <x:c r="F16" s="38" t="str">
        <x:v>S</x:v>
      </x:c>
      <x:c r="G16" s="38" t="str">
        <x:v>UC-03</x:v>
      </x:c>
      <x:c r="H16" s="38" t="str">
        <x:v>PROPOSED 8.1</x:v>
      </x:c>
      <x:c r="I16" s="38" t="n">
        <x:f>IF(F16="S",1,IF(F16="M",2,IF(F16="L",3,IF(F16="XL",5,0))))</x:f>
        <x:v>1</x:v>
      </x:c>
    </x:row>
    <x:row r="17">
      <x:c r="A17" s="38" t="str">
        <x:v>T15</x:v>
      </x:c>
      <x:c r="B17" s="38" t="str">
        <x:v>Operational Config Updated</x:v>
      </x:c>
      <x:c r="C17" s="38" t="str">
        <x:v>Admin Config</x:v>
      </x:c>
      <x:c r="D17" s="38" t="str">
        <x:v>Superadmin</x:v>
      </x:c>
      <x:c r="E17" s="38" t="str">
        <x:v>UX-DERIVED</x:v>
      </x:c>
      <x:c r="F17" s="38" t="str">
        <x:v>S</x:v>
      </x:c>
      <x:c r="G17" s="38" t="str">
        <x:v>UC-20</x:v>
      </x:c>
      <x:c r="H17" s="38" t="str">
        <x:v>PROPOSED 8.1</x:v>
      </x:c>
      <x:c r="I17" s="38" t="n">
        <x:f>IF(F17="S",1,IF(F17="M",2,IF(F17="L",3,IF(F17="XL",5,0))))</x:f>
        <x:v>1</x:v>
      </x:c>
    </x:row>
    <x:row r="18">
      <x:c r="A18" s="38" t="str">
        <x:v>T16</x:v>
      </x:c>
      <x:c r="B18" s="38" t="str">
        <x:v>Action Could Not Be Completed</x:v>
      </x:c>
      <x:c r="C18" s="38" t="str">
        <x:v>System</x:v>
      </x:c>
      <x:c r="D18" s="38" t="str">
        <x:v>All</x:v>
      </x:c>
      <x:c r="E18" s="38" t="str">
        <x:v>UX-DERIVED</x:v>
      </x:c>
      <x:c r="F18" s="38" t="str">
        <x:v>S</x:v>
      </x:c>
      <x:c r="G18" s="38" t="str">
        <x:v>Error handling</x:v>
      </x:c>
      <x:c r="H18" s="38" t="str">
        <x:v>PROPOSED 8.1</x:v>
      </x:c>
      <x:c r="I18" s="38" t="n">
        <x:f>IF(F18="S",1,IF(F18="M",2,IF(F18="L",3,IF(F18="XL",5,0))))</x:f>
        <x:v>1</x:v>
      </x:c>
    </x:row>
  </x:sheetData>
  <x:mergeCells>
    <x:mergeCell ref="A1:I1"/>
  </x:mergeCells>
  <x:dataValidations count="2">
    <x:dataValidation type="list" sqref="F3:F18">
      <x:formula1>"S,M,L,XL"</x:formula1>
    </x:dataValidation>
    <x:dataValidation type="list" sqref="H3:H18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b0ab2415b465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Exceptions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E01</x:v>
      </x:c>
      <x:c r="B3" s="38" t="str">
        <x:v>No Albums Yet</x:v>
      </x:c>
      <x:c r="C3" s="38" t="str">
        <x:v>Empty</x:v>
      </x:c>
      <x:c r="D3" s="38" t="str">
        <x:v>Host</x:v>
      </x:c>
      <x:c r="E3" s="38" t="str">
        <x:v>UX-DERIVED</x:v>
      </x:c>
      <x:c r="F3" s="38" t="str">
        <x:v>S</x:v>
      </x:c>
      <x:c r="G3" s="38" t="str">
        <x:v>UC-02</x:v>
      </x:c>
      <x:c r="H3" s="38" t="str">
        <x:v>PROPOSED 8.1</x:v>
      </x:c>
      <x:c r="I3" s="38" t="n">
        <x:f>IF(F3="S",1,IF(F3="M",2,IF(F3="L",3,IF(F3="XL",5,0))))</x:f>
        <x:v>1</x:v>
      </x:c>
    </x:row>
    <x:row r="4">
      <x:c r="A4" s="38" t="str">
        <x:v>E02</x:v>
      </x:c>
      <x:c r="B4" s="38" t="str">
        <x:v>No Assigned Albums</x:v>
      </x:c>
      <x:c r="C4" s="38" t="str">
        <x:v>Empty</x:v>
      </x:c>
      <x:c r="D4" s="38" t="str">
        <x:v>WO/EO</x:v>
      </x:c>
      <x:c r="E4" s="38" t="str">
        <x:v>UX-DERIVED</x:v>
      </x:c>
      <x:c r="F4" s="38" t="str">
        <x:v>S</x:v>
      </x:c>
      <x:c r="G4" s="38" t="str">
        <x:v>UC-04</x:v>
      </x:c>
      <x:c r="H4" s="38" t="str">
        <x:v>PROPOSED 8.1</x:v>
      </x:c>
      <x:c r="I4" s="38" t="n">
        <x:f>IF(F4="S",1,IF(F4="M",2,IF(F4="L",3,IF(F4="XL",5,0))))</x:f>
        <x:v>1</x:v>
      </x:c>
    </x:row>
    <x:row r="5">
      <x:c r="A5" s="38" t="str">
        <x:v>E03</x:v>
      </x:c>
      <x:c r="B5" s="38" t="str">
        <x:v>No Photos Yet</x:v>
      </x:c>
      <x:c r="C5" s="38" t="str">
        <x:v>Empty</x:v>
      </x:c>
      <x:c r="D5" s="38" t="str">
        <x:v>Host / Guest</x:v>
      </x:c>
      <x:c r="E5" s="38" t="str">
        <x:v>UX-DERIVED</x:v>
      </x:c>
      <x:c r="F5" s="38" t="str">
        <x:v>S</x:v>
      </x:c>
      <x:c r="G5" s="38" t="str">
        <x:v>UC-13</x:v>
      </x:c>
      <x:c r="H5" s="38" t="str">
        <x:v>PROPOSED 8.1</x:v>
      </x:c>
      <x:c r="I5" s="38" t="n">
        <x:f>IF(F5="S",1,IF(F5="M",2,IF(F5="L",3,IF(F5="XL",5,0))))</x:f>
        <x:v>1</x:v>
      </x:c>
    </x:row>
    <x:row r="6">
      <x:c r="A6" s="38" t="str">
        <x:v>E04</x:v>
      </x:c>
      <x:c r="B6" s="38" t="str">
        <x:v>No Pending Moderation</x:v>
      </x:c>
      <x:c r="C6" s="38" t="str">
        <x:v>Empty</x:v>
      </x:c>
      <x:c r="D6" s="38" t="str">
        <x:v>Host / can_moderate</x:v>
      </x:c>
      <x:c r="E6" s="38" t="str">
        <x:v>UX-DERIVED</x:v>
      </x:c>
      <x:c r="F6" s="38" t="str">
        <x:v>S</x:v>
      </x:c>
      <x:c r="G6" s="38" t="str">
        <x:v>UC-14</x:v>
      </x:c>
      <x:c r="H6" s="38" t="str">
        <x:v>PROPOSED 8.1</x:v>
      </x:c>
      <x:c r="I6" s="38" t="n">
        <x:f>IF(F6="S",1,IF(F6="M",2,IF(F6="L",3,IF(F6="XL",5,0))))</x:f>
        <x:v>1</x:v>
      </x:c>
    </x:row>
    <x:row r="7">
      <x:c r="A7" s="38" t="str">
        <x:v>E05</x:v>
      </x:c>
      <x:c r="B7" s="38" t="str">
        <x:v>Trash Empty</x:v>
      </x:c>
      <x:c r="C7" s="38" t="str">
        <x:v>Empty</x:v>
      </x:c>
      <x:c r="D7" s="38" t="str">
        <x:v>Host</x:v>
      </x:c>
      <x:c r="E7" s="38" t="str">
        <x:v>UX-DERIVED</x:v>
      </x:c>
      <x:c r="F7" s="38" t="str">
        <x:v>S</x:v>
      </x:c>
      <x:c r="G7" s="38" t="str">
        <x:v>UC-14</x:v>
      </x:c>
      <x:c r="H7" s="38" t="str">
        <x:v>PROPOSED 8.1</x:v>
      </x:c>
      <x:c r="I7" s="38" t="n">
        <x:f>IF(F7="S",1,IF(F7="M",2,IF(F7="L",3,IF(F7="XL",5,0))))</x:f>
        <x:v>1</x:v>
      </x:c>
    </x:row>
    <x:row r="8">
      <x:c r="A8" s="38" t="str">
        <x:v>E06</x:v>
      </x:c>
      <x:c r="B8" s="38" t="str">
        <x:v>No Exports Yet</x:v>
      </x:c>
      <x:c r="C8" s="38" t="str">
        <x:v>Empty</x:v>
      </x:c>
      <x:c r="D8" s="38" t="str">
        <x:v>Host / can_export_zip</x:v>
      </x:c>
      <x:c r="E8" s="38" t="str">
        <x:v>UX-DERIVED</x:v>
      </x:c>
      <x:c r="F8" s="38" t="str">
        <x:v>S</x:v>
      </x:c>
      <x:c r="G8" s="38" t="str">
        <x:v>UC-18</x:v>
      </x:c>
      <x:c r="H8" s="38" t="str">
        <x:v>PROPOSED 8.1</x:v>
      </x:c>
      <x:c r="I8" s="38" t="n">
        <x:f>IF(F8="S",1,IF(F8="M",2,IF(F8="L",3,IF(F8="XL",5,0))))</x:f>
        <x:v>1</x:v>
      </x:c>
    </x:row>
    <x:row r="9">
      <x:c r="A9" s="38" t="str">
        <x:v>E07</x:v>
      </x:c>
      <x:c r="B9" s="38" t="str">
        <x:v>No Payments Yet</x:v>
      </x:c>
      <x:c r="C9" s="38" t="str">
        <x:v>Empty</x:v>
      </x:c>
      <x:c r="D9" s="38" t="str">
        <x:v>Host</x:v>
      </x:c>
      <x:c r="E9" s="38" t="str">
        <x:v>UX-DERIVED</x:v>
      </x:c>
      <x:c r="F9" s="38" t="str">
        <x:v>S</x:v>
      </x:c>
      <x:c r="G9" s="38" t="str">
        <x:v>UC-07/17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E08</x:v>
      </x:c>
      <x:c r="B10" s="38" t="str">
        <x:v>No Collaborators</x:v>
      </x:c>
      <x:c r="C10" s="38" t="str">
        <x:v>Empty</x:v>
      </x:c>
      <x:c r="D10" s="38" t="str">
        <x:v>Host</x:v>
      </x:c>
      <x:c r="E10" s="38" t="str">
        <x:v>UX-DERIVED</x:v>
      </x:c>
      <x:c r="F10" s="38" t="str">
        <x:v>S</x:v>
      </x:c>
      <x:c r="G10" s="38" t="str">
        <x:v>UC-04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E09</x:v>
      </x:c>
      <x:c r="B11" s="38" t="str">
        <x:v>No Invitation History</x:v>
      </x:c>
      <x:c r="C11" s="38" t="str">
        <x:v>Empty</x:v>
      </x:c>
      <x:c r="D11" s="38" t="str">
        <x:v>Host</x:v>
      </x:c>
      <x:c r="E11" s="38" t="str">
        <x:v>UX-DERIVED</x:v>
      </x:c>
      <x:c r="F11" s="38" t="str">
        <x:v>S</x:v>
      </x:c>
      <x:c r="G11" s="38" t="str">
        <x:v>UC-04</x:v>
      </x:c>
      <x:c r="H11" s="38" t="str">
        <x:v>PROPOSED 8.1</x:v>
      </x:c>
      <x:c r="I11" s="38" t="n">
        <x:f>IF(F11="S",1,IF(F11="M",2,IF(F11="L",3,IF(F11="XL",5,0))))</x:f>
        <x:v>1</x:v>
      </x:c>
    </x:row>
    <x:row r="12">
      <x:c r="A12" s="38" t="str">
        <x:v>E10</x:v>
      </x:c>
      <x:c r="B12" s="38" t="str">
        <x:v>No Search Results</x:v>
      </x:c>
      <x:c r="C12" s="38" t="str">
        <x:v>Empty</x:v>
      </x:c>
      <x:c r="D12" s="38" t="str">
        <x:v>All list surfaces</x:v>
      </x:c>
      <x:c r="E12" s="38" t="str">
        <x:v>UX-DERIVED</x:v>
      </x:c>
      <x:c r="F12" s="38" t="str">
        <x:v>S</x:v>
      </x:c>
      <x:c r="G12" s="38" t="str">
        <x:v>UC-21</x:v>
      </x:c>
      <x:c r="H12" s="38" t="str">
        <x:v>PROPOSED 8.1</x:v>
      </x:c>
      <x:c r="I12" s="38" t="n">
        <x:f>IF(F12="S",1,IF(F12="M",2,IF(F12="L",3,IF(F12="XL",5,0))))</x:f>
        <x:v>1</x:v>
      </x:c>
    </x:row>
    <x:row r="13">
      <x:c r="A13" s="38" t="str">
        <x:v>E11</x:v>
      </x:c>
      <x:c r="B13" s="38" t="str">
        <x:v>No Audit Events</x:v>
      </x:c>
      <x:c r="C13" s="38" t="str">
        <x:v>Empty</x:v>
      </x:c>
      <x:c r="D13" s="38" t="str">
        <x:v>Host / Admin</x:v>
      </x:c>
      <x:c r="E13" s="38" t="str">
        <x:v>UX-DERIVED</x:v>
      </x:c>
      <x:c r="F13" s="38" t="str">
        <x:v>S</x:v>
      </x:c>
      <x:c r="G13" s="38" t="str">
        <x:v>UC-21</x:v>
      </x:c>
      <x:c r="H13" s="38" t="str">
        <x:v>PROPOSED 8.1</x:v>
      </x:c>
      <x:c r="I13" s="38" t="n">
        <x:f>IF(F13="S",1,IF(F13="M",2,IF(F13="L",3,IF(F13="XL",5,0))))</x:f>
        <x:v>1</x:v>
      </x:c>
    </x:row>
    <x:row r="14">
      <x:c r="A14" s="38" t="str">
        <x:v>E12</x:v>
      </x:c>
      <x:c r="B14" s="38" t="str">
        <x:v>No Operational Issues</x:v>
      </x:c>
      <x:c r="C14" s="38" t="str">
        <x:v>Empty</x:v>
      </x:c>
      <x:c r="D14" s="38" t="str">
        <x:v>Superadmin</x:v>
      </x:c>
      <x:c r="E14" s="38" t="str">
        <x:v>UX-DERIVED</x:v>
      </x:c>
      <x:c r="F14" s="38" t="str">
        <x:v>S</x:v>
      </x:c>
      <x:c r="G14" s="38" t="str">
        <x:v>UC-20</x:v>
      </x:c>
      <x:c r="H14" s="38" t="str">
        <x:v>PROPOSED 8.1</x:v>
      </x:c>
      <x:c r="I14" s="38" t="n">
        <x:f>IF(F14="S",1,IF(F14="M",2,IF(F14="L",3,IF(F14="XL",5,0))))</x:f>
        <x:v>1</x:v>
      </x:c>
    </x:row>
    <x:row r="15">
      <x:c r="A15" s="38" t="str">
        <x:v>E13</x:v>
      </x:c>
      <x:c r="B15" s="38" t="str">
        <x:v>Resource Not Found / Concealed</x:v>
      </x:c>
      <x:c r="C15" s="38" t="str">
        <x:v>Error</x:v>
      </x:c>
      <x:c r="D15" s="38" t="str">
        <x:v>Authenticated actors</x:v>
      </x:c>
      <x:c r="E15" s="38" t="str">
        <x:v>LOCKED UX</x:v>
      </x:c>
      <x:c r="F15" s="38" t="str">
        <x:v>S</x:v>
      </x:c>
      <x:c r="G15" s="38" t="str">
        <x:v>API 404 semantics</x:v>
      </x:c>
      <x:c r="H15" s="38" t="str">
        <x:v>PROPOSED 8.1</x:v>
      </x:c>
      <x:c r="I15" s="38" t="n">
        <x:f>IF(F15="S",1,IF(F15="M",2,IF(F15="L",3,IF(F15="XL",5,0))))</x:f>
        <x:v>1</x:v>
      </x:c>
    </x:row>
    <x:row r="16">
      <x:c r="A16" s="38" t="str">
        <x:v>E14</x:v>
      </x:c>
      <x:c r="B16" s="38" t="str">
        <x:v>Authentication Required</x:v>
      </x:c>
      <x:c r="C16" s="38" t="str">
        <x:v>Error</x:v>
      </x:c>
      <x:c r="D16" s="38" t="str">
        <x:v>All</x:v>
      </x:c>
      <x:c r="E16" s="38" t="str">
        <x:v>LOCKED UX</x:v>
      </x:c>
      <x:c r="F16" s="38" t="str">
        <x:v>S</x:v>
      </x:c>
      <x:c r="G16" s="38" t="str">
        <x:v>API auth</x:v>
      </x:c>
      <x:c r="H16" s="38" t="str">
        <x:v>PROPOSED 8.1</x:v>
      </x:c>
      <x:c r="I16" s="38" t="n">
        <x:f>IF(F16="S",1,IF(F16="M",2,IF(F16="L",3,IF(F16="XL",5,0))))</x:f>
        <x:v>1</x:v>
      </x:c>
    </x:row>
    <x:row r="17">
      <x:c r="A17" s="38" t="str">
        <x:v>E15</x:v>
      </x:c>
      <x:c r="B17" s="38" t="str">
        <x:v>Session Expired / Revoked</x:v>
      </x:c>
      <x:c r="C17" s="38" t="str">
        <x:v>Error</x:v>
      </x:c>
      <x:c r="D17" s="38" t="str">
        <x:v>Authenticated actors</x:v>
      </x:c>
      <x:c r="E17" s="38" t="str">
        <x:v>LOCKED UX</x:v>
      </x:c>
      <x:c r="F17" s="38" t="str">
        <x:v>M</x:v>
      </x:c>
      <x:c r="G17" s="38" t="str">
        <x:v>NFR-01</x:v>
      </x:c>
      <x:c r="H17" s="38" t="str">
        <x:v>PROPOSED 8.1</x:v>
      </x:c>
      <x:c r="I17" s="38" t="n">
        <x:f>IF(F17="S",1,IF(F17="M",2,IF(F17="L",3,IF(F17="XL",5,0))))</x:f>
        <x:v>2</x:v>
      </x:c>
    </x:row>
    <x:row r="18">
      <x:c r="A18" s="38" t="str">
        <x:v>E16</x:v>
      </x:c>
      <x:c r="B18" s="38" t="str">
        <x:v>CSRF / Origin Validation Failed</x:v>
      </x:c>
      <x:c r="C18" s="38" t="str">
        <x:v>Error</x:v>
      </x:c>
      <x:c r="D18" s="38" t="str">
        <x:v>Browser actors</x:v>
      </x:c>
      <x:c r="E18" s="38" t="str">
        <x:v>LOCKED UX</x:v>
      </x:c>
      <x:c r="F18" s="38" t="str">
        <x:v>M</x:v>
      </x:c>
      <x:c r="G18" s="38" t="str">
        <x:v>NFR-01</x:v>
      </x:c>
      <x:c r="H18" s="38" t="str">
        <x:v>PROPOSED 8.1</x:v>
      </x:c>
      <x:c r="I18" s="38" t="n">
        <x:f>IF(F18="S",1,IF(F18="M",2,IF(F18="L",3,IF(F18="XL",5,0))))</x:f>
        <x:v>2</x:v>
      </x:c>
    </x:row>
    <x:row r="19">
      <x:c r="A19" s="38" t="str">
        <x:v>E17</x:v>
      </x:c>
      <x:c r="B19" s="38" t="str">
        <x:v>Rate Limited</x:v>
      </x:c>
      <x:c r="C19" s="38" t="str">
        <x:v>Error</x:v>
      </x:c>
      <x:c r="D19" s="38" t="str">
        <x:v>All</x:v>
      </x:c>
      <x:c r="E19" s="38" t="str">
        <x:v>LOCKED UX</x:v>
      </x:c>
      <x:c r="F19" s="38" t="str">
        <x:v>M</x:v>
      </x:c>
      <x:c r="G19" s="38" t="str">
        <x:v>API 429</x:v>
      </x:c>
      <x:c r="H19" s="38" t="str">
        <x:v>PROPOSED 8.1</x:v>
      </x:c>
      <x:c r="I19" s="38" t="n">
        <x:f>IF(F19="S",1,IF(F19="M",2,IF(F19="L",3,IF(F19="XL",5,0))))</x:f>
        <x:v>2</x:v>
      </x:c>
    </x:row>
    <x:row r="20">
      <x:c r="A20" s="38" t="str">
        <x:v>E18</x:v>
      </x:c>
      <x:c r="B20" s="38" t="str">
        <x:v>Camera Unsupported</x:v>
      </x:c>
      <x:c r="C20" s="38" t="str">
        <x:v>Camera</x:v>
      </x:c>
      <x:c r="D20" s="38" t="str">
        <x:v>Guest</x:v>
      </x:c>
      <x:c r="E20" s="38" t="str">
        <x:v>LOCKED UX</x:v>
      </x:c>
      <x:c r="F20" s="38" t="str">
        <x:v>L</x:v>
      </x:c>
      <x:c r="G20" s="38" t="str">
        <x:v>NFR-05; UC-10</x:v>
      </x:c>
      <x:c r="H20" s="38" t="str">
        <x:v>PROPOSED 8.1</x:v>
      </x:c>
      <x:c r="I20" s="38" t="n">
        <x:f>IF(F20="S",1,IF(F20="M",2,IF(F20="L",3,IF(F20="XL",5,0))))</x:f>
        <x:v>3</x:v>
      </x:c>
    </x:row>
    <x:row r="21">
      <x:c r="A21" s="38" t="str">
        <x:v>E19</x:v>
      </x:c>
      <x:c r="B21" s="38" t="str">
        <x:v>Camera Permission Denied</x:v>
      </x:c>
      <x:c r="C21" s="38" t="str">
        <x:v>Camera</x:v>
      </x:c>
      <x:c r="D21" s="38" t="str">
        <x:v>Guest</x:v>
      </x:c>
      <x:c r="E21" s="38" t="str">
        <x:v>LOCKED UX</x:v>
      </x:c>
      <x:c r="F21" s="38" t="str">
        <x:v>L</x:v>
      </x:c>
      <x:c r="G21" s="38" t="str">
        <x:v>UC-10</x:v>
      </x:c>
      <x:c r="H21" s="38" t="str">
        <x:v>PROPOSED 8.1</x:v>
      </x:c>
      <x:c r="I21" s="38" t="n">
        <x:f>IF(F21="S",1,IF(F21="M",2,IF(F21="L",3,IF(F21="XL",5,0))))</x:f>
        <x:v>3</x:v>
      </x:c>
    </x:row>
    <x:row r="22">
      <x:c r="A22" s="38" t="str">
        <x:v>E20</x:v>
      </x:c>
      <x:c r="B22" s="38" t="str">
        <x:v>No Camera Device Available</x:v>
      </x:c>
      <x:c r="C22" s="38" t="str">
        <x:v>Camera</x:v>
      </x:c>
      <x:c r="D22" s="38" t="str">
        <x:v>Guest</x:v>
      </x:c>
      <x:c r="E22" s="38" t="str">
        <x:v>UX-DERIVED</x:v>
      </x:c>
      <x:c r="F22" s="38" t="str">
        <x:v>M</x:v>
      </x:c>
      <x:c r="G22" s="38" t="str">
        <x:v>NFR-05</x:v>
      </x:c>
      <x:c r="H22" s="38" t="str">
        <x:v>PROPOSED 8.1</x:v>
      </x:c>
      <x:c r="I22" s="38" t="n">
        <x:f>IF(F22="S",1,IF(F22="M",2,IF(F22="L",3,IF(F22="XL",5,0))))</x:f>
        <x:v>2</x:v>
      </x:c>
    </x:row>
    <x:row r="23">
      <x:c r="A23" s="38" t="str">
        <x:v>E21</x:v>
      </x:c>
      <x:c r="B23" s="38" t="str">
        <x:v>Camera Busy / In Use</x:v>
      </x:c>
      <x:c r="C23" s="38" t="str">
        <x:v>Camera</x:v>
      </x:c>
      <x:c r="D23" s="38" t="str">
        <x:v>Guest</x:v>
      </x:c>
      <x:c r="E23" s="38" t="str">
        <x:v>UX-DERIVED</x:v>
      </x:c>
      <x:c r="F23" s="38" t="str">
        <x:v>M</x:v>
      </x:c>
      <x:c r="G23" s="38" t="str">
        <x:v>NFR-05</x:v>
      </x:c>
      <x:c r="H23" s="38" t="str">
        <x:v>PROPOSED 8.1</x:v>
      </x:c>
      <x:c r="I23" s="38" t="n">
        <x:f>IF(F23="S",1,IF(F23="M",2,IF(F23="L",3,IF(F23="XL",5,0))))</x:f>
        <x:v>2</x:v>
      </x:c>
    </x:row>
    <x:row r="24">
      <x:c r="A24" s="38" t="str">
        <x:v>E22</x:v>
      </x:c>
      <x:c r="B24" s="38" t="str">
        <x:v>Offline Before Shutter</x:v>
      </x:c>
      <x:c r="C24" s="38" t="str">
        <x:v>Camera</x:v>
      </x:c>
      <x:c r="D24" s="38" t="str">
        <x:v>Guest</x:v>
      </x:c>
      <x:c r="E24" s="38" t="str">
        <x:v>LOCKED UX</x:v>
      </x:c>
      <x:c r="F24" s="38" t="str">
        <x:v>M</x:v>
      </x:c>
      <x:c r="G24" s="38" t="str">
        <x:v>UC-12</x:v>
      </x:c>
      <x:c r="H24" s="38" t="str">
        <x:v>PROPOSED 8.1</x:v>
      </x:c>
      <x:c r="I24" s="38" t="n">
        <x:f>IF(F24="S",1,IF(F24="M",2,IF(F24="L",3,IF(F24="XL",5,0))))</x:f>
        <x:v>2</x:v>
      </x:c>
    </x:row>
    <x:row r="25">
      <x:c r="A25" s="38" t="str">
        <x:v>E23</x:v>
      </x:c>
      <x:c r="B25" s="38" t="str">
        <x:v>Album Quota Full</x:v>
      </x:c>
      <x:c r="C25" s="38" t="str">
        <x:v>Capture/Quota</x:v>
      </x:c>
      <x:c r="D25" s="38" t="str">
        <x:v>Guest / Host</x:v>
      </x:c>
      <x:c r="E25" s="38" t="str">
        <x:v>LOCKED UX</x:v>
      </x:c>
      <x:c r="F25" s="38" t="str">
        <x:v>L</x:v>
      </x:c>
      <x:c r="G25" s="38" t="str">
        <x:v>UC-12</x:v>
      </x:c>
      <x:c r="H25" s="38" t="str">
        <x:v>PROPOSED 8.1</x:v>
      </x:c>
      <x:c r="I25" s="38" t="n">
        <x:f>IF(F25="S",1,IF(F25="M",2,IF(F25="L",3,IF(F25="XL",5,0))))</x:f>
        <x:v>3</x:v>
      </x:c>
    </x:row>
    <x:row r="26">
      <x:c r="A26" s="38" t="str">
        <x:v>E24</x:v>
      </x:c>
      <x:c r="B26" s="38" t="str">
        <x:v>Per-Guest Limit Reached</x:v>
      </x:c>
      <x:c r="C26" s="38" t="str">
        <x:v>Capture/Quota</x:v>
      </x:c>
      <x:c r="D26" s="38" t="str">
        <x:v>Guest</x:v>
      </x:c>
      <x:c r="E26" s="38" t="str">
        <x:v>LOCKED UX</x:v>
      </x:c>
      <x:c r="F26" s="38" t="str">
        <x:v>L</x:v>
      </x:c>
      <x:c r="G26" s="38" t="str">
        <x:v>UC-12</x:v>
      </x:c>
      <x:c r="H26" s="38" t="str">
        <x:v>PROPOSED 8.1</x:v>
      </x:c>
      <x:c r="I26" s="38" t="n">
        <x:f>IF(F26="S",1,IF(F26="M",2,IF(F26="L",3,IF(F26="XL",5,0))))</x:f>
        <x:v>3</x:v>
      </x:c>
    </x:row>
    <x:row r="27">
      <x:c r="A27" s="38" t="str">
        <x:v>E25</x:v>
      </x:c>
      <x:c r="B27" s="38" t="str">
        <x:v>Capture Not Open Yet</x:v>
      </x:c>
      <x:c r="C27" s="38" t="str">
        <x:v>Schedule</x:v>
      </x:c>
      <x:c r="D27" s="38" t="str">
        <x:v>Guest</x:v>
      </x:c>
      <x:c r="E27" s="38" t="str">
        <x:v>LOCKED UX</x:v>
      </x:c>
      <x:c r="F27" s="38" t="str">
        <x:v>M</x:v>
      </x:c>
      <x:c r="G27" s="38" t="str">
        <x:v>UC-10/12</x:v>
      </x:c>
      <x:c r="H27" s="38" t="str">
        <x:v>PROPOSED 8.1</x:v>
      </x:c>
      <x:c r="I27" s="38" t="n">
        <x:f>IF(F27="S",1,IF(F27="M",2,IF(F27="L",3,IF(F27="XL",5,0))))</x:f>
        <x:v>2</x:v>
      </x:c>
    </x:row>
    <x:row r="28">
      <x:c r="A28" s="38" t="str">
        <x:v>E26</x:v>
      </x:c>
      <x:c r="B28" s="38" t="str">
        <x:v>Capture Closed</x:v>
      </x:c>
      <x:c r="C28" s="38" t="str">
        <x:v>Schedule</x:v>
      </x:c>
      <x:c r="D28" s="38" t="str">
        <x:v>Guest</x:v>
      </x:c>
      <x:c r="E28" s="38" t="str">
        <x:v>LOCKED UX</x:v>
      </x:c>
      <x:c r="F28" s="38" t="str">
        <x:v>M</x:v>
      </x:c>
      <x:c r="G28" s="38" t="str">
        <x:v>UC-12</x:v>
      </x:c>
      <x:c r="H28" s="38" t="str">
        <x:v>PROPOSED 8.1</x:v>
      </x:c>
      <x:c r="I28" s="38" t="n">
        <x:f>IF(F28="S",1,IF(F28="M",2,IF(F28="L",3,IF(F28="XL",5,0))))</x:f>
        <x:v>2</x:v>
      </x:c>
    </x:row>
    <x:row r="29">
      <x:c r="A29" s="38" t="str">
        <x:v>E27</x:v>
      </x:c>
      <x:c r="B29" s="38" t="str">
        <x:v>Upload Failed — Retry Available</x:v>
      </x:c>
      <x:c r="C29" s="38" t="str">
        <x:v>Upload</x:v>
      </x:c>
      <x:c r="D29" s="38" t="str">
        <x:v>Guest</x:v>
      </x:c>
      <x:c r="E29" s="38" t="str">
        <x:v>LOCKED UX</x:v>
      </x:c>
      <x:c r="F29" s="38" t="str">
        <x:v>L</x:v>
      </x:c>
      <x:c r="G29" s="38" t="str">
        <x:v>UC-12</x:v>
      </x:c>
      <x:c r="H29" s="38" t="str">
        <x:v>PROPOSED 8.1</x:v>
      </x:c>
      <x:c r="I29" s="38" t="n">
        <x:f>IF(F29="S",1,IF(F29="M",2,IF(F29="L",3,IF(F29="XL",5,0))))</x:f>
        <x:v>3</x:v>
      </x:c>
    </x:row>
    <x:row r="30">
      <x:c r="A30" s="38" t="str">
        <x:v>E28</x:v>
      </x:c>
      <x:c r="B30" s="38" t="str">
        <x:v>Upload Deadline / Attempt Expired</x:v>
      </x:c>
      <x:c r="C30" s="38" t="str">
        <x:v>Upload</x:v>
      </x:c>
      <x:c r="D30" s="38" t="str">
        <x:v>Guest</x:v>
      </x:c>
      <x:c r="E30" s="38" t="str">
        <x:v>LOCKED UX</x:v>
      </x:c>
      <x:c r="F30" s="38" t="str">
        <x:v>L</x:v>
      </x:c>
      <x:c r="G30" s="38" t="str">
        <x:v>UC-12</x:v>
      </x:c>
      <x:c r="H30" s="38" t="str">
        <x:v>PROPOSED 8.1</x:v>
      </x:c>
      <x:c r="I30" s="38" t="n">
        <x:f>IF(F30="S",1,IF(F30="M",2,IF(F30="L",3,IF(F30="XL",5,0))))</x:f>
        <x:v>3</x:v>
      </x:c>
    </x:row>
    <x:row r="31">
      <x:c r="A31" s="38" t="str">
        <x:v>E29</x:v>
      </x:c>
      <x:c r="B31" s="38" t="str">
        <x:v>Image Processing Failed / Too Large</x:v>
      </x:c>
      <x:c r="C31" s="38" t="str">
        <x:v>Upload</x:v>
      </x:c>
      <x:c r="D31" s="38" t="str">
        <x:v>Guest</x:v>
      </x:c>
      <x:c r="E31" s="38" t="str">
        <x:v>LOCKED UX</x:v>
      </x:c>
      <x:c r="F31" s="38" t="str">
        <x:v>L</x:v>
      </x:c>
      <x:c r="G31" s="38" t="str">
        <x:v>UC-11</x:v>
      </x:c>
      <x:c r="H31" s="38" t="str">
        <x:v>PROPOSED 8.1</x:v>
      </x:c>
      <x:c r="I31" s="38" t="n">
        <x:f>IF(F31="S",1,IF(F31="M",2,IF(F31="L",3,IF(F31="XL",5,0))))</x:f>
        <x:v>3</x:v>
      </x:c>
    </x:row>
    <x:row r="32">
      <x:c r="A32" s="38" t="str">
        <x:v>E30</x:v>
      </x:c>
      <x:c r="B32" s="38" t="str">
        <x:v>Reveal Not Yet Available</x:v>
      </x:c>
      <x:c r="C32" s="38" t="str">
        <x:v>Gallery</x:v>
      </x:c>
      <x:c r="D32" s="38" t="str">
        <x:v>Guest</x:v>
      </x:c>
      <x:c r="E32" s="38" t="str">
        <x:v>LOCKED UX</x:v>
      </x:c>
      <x:c r="F32" s="38" t="str">
        <x:v>M</x:v>
      </x:c>
      <x:c r="G32" s="38" t="str">
        <x:v>UC-13</x:v>
      </x:c>
      <x:c r="H32" s="38" t="str">
        <x:v>PROPOSED 8.1</x:v>
      </x:c>
      <x:c r="I32" s="38" t="n">
        <x:f>IF(F32="S",1,IF(F32="M",2,IF(F32="L",3,IF(F32="XL",5,0))))</x:f>
        <x:v>2</x:v>
      </x:c>
    </x:row>
    <x:row r="33">
      <x:c r="A33" s="38" t="str">
        <x:v>E31</x:v>
      </x:c>
      <x:c r="B33" s="38" t="str">
        <x:v>Gallery Host-Only / Guest Disabled</x:v>
      </x:c>
      <x:c r="C33" s="38" t="str">
        <x:v>Gallery</x:v>
      </x:c>
      <x:c r="D33" s="38" t="str">
        <x:v>Guest</x:v>
      </x:c>
      <x:c r="E33" s="38" t="str">
        <x:v>LOCKED UX</x:v>
      </x:c>
      <x:c r="F33" s="38" t="str">
        <x:v>M</x:v>
      </x:c>
      <x:c r="G33" s="38" t="str">
        <x:v>UC-13</x:v>
      </x:c>
      <x:c r="H33" s="38" t="str">
        <x:v>PROPOSED 8.1</x:v>
      </x:c>
      <x:c r="I33" s="38" t="n">
        <x:f>IF(F33="S",1,IF(F33="M",2,IF(F33="L",3,IF(F33="XL",5,0))))</x:f>
        <x:v>2</x:v>
      </x:c>
    </x:row>
    <x:row r="34">
      <x:c r="A34" s="38" t="str">
        <x:v>E32</x:v>
      </x:c>
      <x:c r="B34" s="38" t="str">
        <x:v>Guest Credential Invalid / Revoked</x:v>
      </x:c>
      <x:c r="C34" s="38" t="str">
        <x:v>Guest Access</x:v>
      </x:c>
      <x:c r="D34" s="38" t="str">
        <x:v>Guest</x:v>
      </x:c>
      <x:c r="E34" s="38" t="str">
        <x:v>LOCKED UX</x:v>
      </x:c>
      <x:c r="F34" s="38" t="str">
        <x:v>M</x:v>
      </x:c>
      <x:c r="G34" s="38" t="str">
        <x:v>Access model</x:v>
      </x:c>
      <x:c r="H34" s="38" t="str">
        <x:v>PROPOSED 8.1</x:v>
      </x:c>
      <x:c r="I34" s="38" t="n">
        <x:f>IF(F34="S",1,IF(F34="M",2,IF(F34="L",3,IF(F34="XL",5,0))))</x:f>
        <x:v>2</x:v>
      </x:c>
    </x:row>
    <x:row r="35">
      <x:c r="A35" s="38" t="str">
        <x:v>E33</x:v>
      </x:c>
      <x:c r="B35" s="38" t="str">
        <x:v>Guest Link Invalid / Rotated</x:v>
      </x:c>
      <x:c r="C35" s="38" t="str">
        <x:v>Guest Access</x:v>
      </x:c>
      <x:c r="D35" s="38" t="str">
        <x:v>Guest</x:v>
      </x:c>
      <x:c r="E35" s="38" t="str">
        <x:v>LOCKED UX</x:v>
      </x:c>
      <x:c r="F35" s="38" t="str">
        <x:v>M</x:v>
      </x:c>
      <x:c r="G35" s="38" t="str">
        <x:v>UC-08/09</x:v>
      </x:c>
      <x:c r="H35" s="38" t="str">
        <x:v>PROPOSED 8.1</x:v>
      </x:c>
      <x:c r="I35" s="38" t="n">
        <x:f>IF(F35="S",1,IF(F35="M",2,IF(F35="L",3,IF(F35="XL",5,0))))</x:f>
        <x:v>2</x:v>
      </x:c>
    </x:row>
    <x:row r="36">
      <x:c r="A36" s="38" t="str">
        <x:v>E34</x:v>
      </x:c>
      <x:c r="B36" s="38" t="str">
        <x:v>PIN Incorrect / Temporarily Limited</x:v>
      </x:c>
      <x:c r="C36" s="38" t="str">
        <x:v>Guest Access</x:v>
      </x:c>
      <x:c r="D36" s="38" t="str">
        <x:v>Guest</x:v>
      </x:c>
      <x:c r="E36" s="38" t="str">
        <x:v>LOCKED UX</x:v>
      </x:c>
      <x:c r="F36" s="38" t="str">
        <x:v>M</x:v>
      </x:c>
      <x:c r="G36" s="38" t="str">
        <x:v>UC-09</x:v>
      </x:c>
      <x:c r="H36" s="38" t="str">
        <x:v>PROPOSED 8.1</x:v>
      </x:c>
      <x:c r="I36" s="38" t="n">
        <x:f>IF(F36="S",1,IF(F36="M",2,IF(F36="L",3,IF(F36="XL",5,0))))</x:f>
        <x:v>2</x:v>
      </x:c>
    </x:row>
    <x:row r="37">
      <x:c r="A37" s="38" t="str">
        <x:v>E35</x:v>
      </x:c>
      <x:c r="B37" s="38" t="str">
        <x:v>Payment Failed</x:v>
      </x:c>
      <x:c r="C37" s="38" t="str">
        <x:v>Payment</x:v>
      </x:c>
      <x:c r="D37" s="38" t="str">
        <x:v>Host</x:v>
      </x:c>
      <x:c r="E37" s="38" t="str">
        <x:v>LOCKED UX</x:v>
      </x:c>
      <x:c r="F37" s="38" t="str">
        <x:v>M</x:v>
      </x:c>
      <x:c r="G37" s="38" t="str">
        <x:v>UC-07</x:v>
      </x:c>
      <x:c r="H37" s="38" t="str">
        <x:v>PROPOSED 8.1</x:v>
      </x:c>
      <x:c r="I37" s="38" t="n">
        <x:f>IF(F37="S",1,IF(F37="M",2,IF(F37="L",3,IF(F37="XL",5,0))))</x:f>
        <x:v>2</x:v>
      </x:c>
    </x:row>
    <x:row r="38">
      <x:c r="A38" s="38" t="str">
        <x:v>E36</x:v>
      </x:c>
      <x:c r="B38" s="38" t="str">
        <x:v>Payment Expired</x:v>
      </x:c>
      <x:c r="C38" s="38" t="str">
        <x:v>Payment</x:v>
      </x:c>
      <x:c r="D38" s="38" t="str">
        <x:v>Host</x:v>
      </x:c>
      <x:c r="E38" s="38" t="str">
        <x:v>LOCKED UX</x:v>
      </x:c>
      <x:c r="F38" s="38" t="str">
        <x:v>M</x:v>
      </x:c>
      <x:c r="G38" s="38" t="str">
        <x:v>UC-07</x:v>
      </x:c>
      <x:c r="H38" s="38" t="str">
        <x:v>PROPOSED 8.1</x:v>
      </x:c>
      <x:c r="I38" s="38" t="n">
        <x:f>IF(F38="S",1,IF(F38="M",2,IF(F38="L",3,IF(F38="XL",5,0))))</x:f>
        <x:v>2</x:v>
      </x:c>
    </x:row>
    <x:row r="39">
      <x:c r="A39" s="38" t="str">
        <x:v>E37</x:v>
      </x:c>
      <x:c r="B39" s="38" t="str">
        <x:v>Payment Verification Pending</x:v>
      </x:c>
      <x:c r="C39" s="38" t="str">
        <x:v>Payment</x:v>
      </x:c>
      <x:c r="D39" s="38" t="str">
        <x:v>Host</x:v>
      </x:c>
      <x:c r="E39" s="38" t="str">
        <x:v>LOCKED UX</x:v>
      </x:c>
      <x:c r="F39" s="38" t="str">
        <x:v>M</x:v>
      </x:c>
      <x:c r="G39" s="38" t="str">
        <x:v>UC-07</x:v>
      </x:c>
      <x:c r="H39" s="38" t="str">
        <x:v>PROPOSED 8.1</x:v>
      </x:c>
      <x:c r="I39" s="38" t="n">
        <x:f>IF(F39="S",1,IF(F39="M",2,IF(F39="L",3,IF(F39="XL",5,0))))</x:f>
        <x:v>2</x:v>
      </x:c>
    </x:row>
    <x:row r="40">
      <x:c r="A40" s="38" t="str">
        <x:v>E38</x:v>
      </x:c>
      <x:c r="B40" s="38" t="str">
        <x:v>Payment Window Closed</x:v>
      </x:c>
      <x:c r="C40" s="38" t="str">
        <x:v>Payment</x:v>
      </x:c>
      <x:c r="D40" s="38" t="str">
        <x:v>Host</x:v>
      </x:c>
      <x:c r="E40" s="38" t="str">
        <x:v>LOCKED UX</x:v>
      </x:c>
      <x:c r="F40" s="38" t="str">
        <x:v>L</x:v>
      </x:c>
      <x:c r="G40" s="38" t="str">
        <x:v>UC-07/17</x:v>
      </x:c>
      <x:c r="H40" s="38" t="str">
        <x:v>PROPOSED 8.1</x:v>
      </x:c>
      <x:c r="I40" s="38" t="n">
        <x:f>IF(F40="S",1,IF(F40="M",2,IF(F40="L",3,IF(F40="XL",5,0))))</x:f>
        <x:v>3</x:v>
      </x:c>
    </x:row>
    <x:row r="41">
      <x:c r="A41" s="38" t="str">
        <x:v>E39</x:v>
      </x:c>
      <x:c r="B41" s="38" t="str">
        <x:v>Setup Revision Conflict</x:v>
      </x:c>
      <x:c r="C41" s="38" t="str">
        <x:v>Concurrency</x:v>
      </x:c>
      <x:c r="D41" s="38" t="str">
        <x:v>Host / can_setup</x:v>
      </x:c>
      <x:c r="E41" s="38" t="str">
        <x:v>LOCKED UX</x:v>
      </x:c>
      <x:c r="F41" s="38" t="str">
        <x:v>M</x:v>
      </x:c>
      <x:c r="G41" s="38" t="str">
        <x:v>UC-03</x:v>
      </x:c>
      <x:c r="H41" s="38" t="str">
        <x:v>PROPOSED 8.1</x:v>
      </x:c>
      <x:c r="I41" s="38" t="n">
        <x:f>IF(F41="S",1,IF(F41="M",2,IF(F41="L",3,IF(F41="XL",5,0))))</x:f>
        <x:v>2</x:v>
      </x:c>
    </x:row>
    <x:row r="42">
      <x:c r="A42" s="38" t="str">
        <x:v>E40</x:v>
      </x:c>
      <x:c r="B42" s="38" t="str">
        <x:v>Setup Reconfirmation Required</x:v>
      </x:c>
      <x:c r="C42" s="38" t="str">
        <x:v>Concurrency</x:v>
      </x:c>
      <x:c r="D42" s="38" t="str">
        <x:v>Host</x:v>
      </x:c>
      <x:c r="E42" s="38" t="str">
        <x:v>LOCKED UX</x:v>
      </x:c>
      <x:c r="F42" s="38" t="str">
        <x:v>M</x:v>
      </x:c>
      <x:c r="G42" s="38" t="str">
        <x:v>API acceptance</x:v>
      </x:c>
      <x:c r="H42" s="38" t="str">
        <x:v>PROPOSED 8.1</x:v>
      </x:c>
      <x:c r="I42" s="38" t="n">
        <x:f>IF(F42="S",1,IF(F42="M",2,IF(F42="L",3,IF(F42="XL",5,0))))</x:f>
        <x:v>2</x:v>
      </x:c>
    </x:row>
    <x:row r="43">
      <x:c r="A43" s="38" t="str">
        <x:v>E41</x:v>
      </x:c>
      <x:c r="B43" s="38" t="str">
        <x:v>Schedule Revision / Reschedule Conflict</x:v>
      </x:c>
      <x:c r="C43" s="38" t="str">
        <x:v>Concurrency</x:v>
      </x:c>
      <x:c r="D43" s="38" t="str">
        <x:v>Host</x:v>
      </x:c>
      <x:c r="E43" s="38" t="str">
        <x:v>LOCKED UX</x:v>
      </x:c>
      <x:c r="F43" s="38" t="str">
        <x:v>M</x:v>
      </x:c>
      <x:c r="G43" s="38" t="str">
        <x:v>UC-19</x:v>
      </x:c>
      <x:c r="H43" s="38" t="str">
        <x:v>PROPOSED 8.1</x:v>
      </x:c>
      <x:c r="I43" s="38" t="n">
        <x:f>IF(F43="S",1,IF(F43="M",2,IF(F43="L",3,IF(F43="XL",5,0))))</x:f>
        <x:v>2</x:v>
      </x:c>
    </x:row>
    <x:row r="44">
      <x:c r="A44" s="38" t="str">
        <x:v>E42</x:v>
      </x:c>
      <x:c r="B44" s="38" t="str">
        <x:v>Export Failed</x:v>
      </x:c>
      <x:c r="C44" s="38" t="str">
        <x:v>Export</x:v>
      </x:c>
      <x:c r="D44" s="38" t="str">
        <x:v>Host / can_export_zip</x:v>
      </x:c>
      <x:c r="E44" s="38" t="str">
        <x:v>LOCKED UX</x:v>
      </x:c>
      <x:c r="F44" s="38" t="str">
        <x:v>M</x:v>
      </x:c>
      <x:c r="G44" s="38" t="str">
        <x:v>UC-18</x:v>
      </x:c>
      <x:c r="H44" s="38" t="str">
        <x:v>PROPOSED 8.1</x:v>
      </x:c>
      <x:c r="I44" s="38" t="n">
        <x:f>IF(F44="S",1,IF(F44="M",2,IF(F44="L",3,IF(F44="XL",5,0))))</x:f>
        <x:v>2</x:v>
      </x:c>
    </x:row>
    <x:row r="45">
      <x:c r="A45" s="38" t="str">
        <x:v>E43</x:v>
      </x:c>
      <x:c r="B45" s="38" t="str">
        <x:v>Export Invalidated</x:v>
      </x:c>
      <x:c r="C45" s="38" t="str">
        <x:v>Export</x:v>
      </x:c>
      <x:c r="D45" s="38" t="str">
        <x:v>Host / can_export_zip</x:v>
      </x:c>
      <x:c r="E45" s="38" t="str">
        <x:v>LOCKED UX</x:v>
      </x:c>
      <x:c r="F45" s="38" t="str">
        <x:v>M</x:v>
      </x:c>
      <x:c r="G45" s="38" t="str">
        <x:v>UC-18</x:v>
      </x:c>
      <x:c r="H45" s="38" t="str">
        <x:v>PROPOSED 8.1</x:v>
      </x:c>
      <x:c r="I45" s="38" t="n">
        <x:f>IF(F45="S",1,IF(F45="M",2,IF(F45="L",3,IF(F45="XL",5,0))))</x:f>
        <x:v>2</x:v>
      </x:c>
    </x:row>
    <x:row r="46">
      <x:c r="A46" s="38" t="str">
        <x:v>E44</x:v>
      </x:c>
      <x:c r="B46" s="38" t="str">
        <x:v>Export Expired</x:v>
      </x:c>
      <x:c r="C46" s="38" t="str">
        <x:v>Export</x:v>
      </x:c>
      <x:c r="D46" s="38" t="str">
        <x:v>Host / can_export_zip</x:v>
      </x:c>
      <x:c r="E46" s="38" t="str">
        <x:v>LOCKED UX</x:v>
      </x:c>
      <x:c r="F46" s="38" t="str">
        <x:v>M</x:v>
      </x:c>
      <x:c r="G46" s="38" t="str">
        <x:v>UC-18</x:v>
      </x:c>
      <x:c r="H46" s="38" t="str">
        <x:v>PROPOSED 8.1</x:v>
      </x:c>
      <x:c r="I46" s="38" t="n">
        <x:f>IF(F46="S",1,IF(F46="M",2,IF(F46="L",3,IF(F46="XL",5,0))))</x:f>
        <x:v>2</x:v>
      </x:c>
    </x:row>
    <x:row r="47">
      <x:c r="A47" s="38" t="str">
        <x:v>E45</x:v>
      </x:c>
      <x:c r="B47" s="38" t="str">
        <x:v>Operational Hold Blocks Access</x:v>
      </x:c>
      <x:c r="C47" s="38" t="str">
        <x:v>Admin Hold</x:v>
      </x:c>
      <x:c r="D47" s="38" t="str">
        <x:v>Host / Guest / WO</x:v>
      </x:c>
      <x:c r="E47" s="38" t="str">
        <x:v>LOCKED UX</x:v>
      </x:c>
      <x:c r="F47" s="38" t="str">
        <x:v>L</x:v>
      </x:c>
      <x:c r="G47" s="38" t="str">
        <x:v>UC-26</x:v>
      </x:c>
      <x:c r="H47" s="38" t="str">
        <x:v>PROPOSED 8.1</x:v>
      </x:c>
      <x:c r="I47" s="38" t="n">
        <x:f>IF(F47="S",1,IF(F47="M",2,IF(F47="L",3,IF(F47="XL",5,0))))</x:f>
        <x:v>3</x:v>
      </x:c>
    </x:row>
    <x:row r="48">
      <x:c r="A48" s="38" t="str">
        <x:v>E46</x:v>
      </x:c>
      <x:c r="B48" s="38" t="str">
        <x:v>Recovery Not Available</x:v>
      </x:c>
      <x:c r="C48" s="38" t="str">
        <x:v>Lifecycle</x:v>
      </x:c>
      <x:c r="D48" s="38" t="str">
        <x:v>Host</x:v>
      </x:c>
      <x:c r="E48" s="38" t="str">
        <x:v>LOCKED UX</x:v>
      </x:c>
      <x:c r="F48" s="38" t="str">
        <x:v>M</x:v>
      </x:c>
      <x:c r="G48" s="38" t="str">
        <x:v>UC-22</x:v>
      </x:c>
      <x:c r="H48" s="38" t="str">
        <x:v>PROPOSED 8.1</x:v>
      </x:c>
      <x:c r="I48" s="38" t="n">
        <x:f>IF(F48="S",1,IF(F48="M",2,IF(F48="L",3,IF(F48="XL",5,0))))</x:f>
        <x:v>2</x:v>
      </x:c>
    </x:row>
    <x:row r="49">
      <x:c r="A49" s="38" t="str">
        <x:v>E47</x:v>
      </x:c>
      <x:c r="B49" s="38" t="str">
        <x:v>Sensitive Access Grant Expired</x:v>
      </x:c>
      <x:c r="C49" s="38" t="str">
        <x:v>Admin Security</x:v>
      </x:c>
      <x:c r="D49" s="38" t="str">
        <x:v>Superadmin</x:v>
      </x:c>
      <x:c r="E49" s="38" t="str">
        <x:v>LOCKED UX</x:v>
      </x:c>
      <x:c r="F49" s="38" t="str">
        <x:v>M</x:v>
      </x:c>
      <x:c r="G49" s="38" t="str">
        <x:v>UC-26</x:v>
      </x:c>
      <x:c r="H49" s="38" t="str">
        <x:v>PROPOSED 8.1</x:v>
      </x:c>
      <x:c r="I49" s="38" t="n">
        <x:f>IF(F49="S",1,IF(F49="M",2,IF(F49="L",3,IF(F49="XL",5,0))))</x:f>
        <x:v>2</x:v>
      </x:c>
    </x:row>
    <x:row r="50">
      <x:c r="A50" s="38" t="str">
        <x:v>E48</x:v>
      </x:c>
      <x:c r="B50" s="38" t="str">
        <x:v>AI Temporarily Unavailable</x:v>
      </x:c>
      <x:c r="C50" s="38" t="str">
        <x:v>AI</x:v>
      </x:c>
      <x:c r="D50" s="38" t="str">
        <x:v>All AI surfaces</x:v>
      </x:c>
      <x:c r="E50" s="38" t="str">
        <x:v>LOCKED UX</x:v>
      </x:c>
      <x:c r="F50" s="38" t="str">
        <x:v>M</x:v>
      </x:c>
      <x:c r="G50" s="38" t="str">
        <x:v>UC-23</x:v>
      </x:c>
      <x:c r="H50" s="38" t="str">
        <x:v>PROPOSED 8.1</x:v>
      </x:c>
      <x:c r="I50" s="38" t="n">
        <x:f>IF(F50="S",1,IF(F50="M",2,IF(F50="L",3,IF(F50="XL",5,0))))</x:f>
        <x:v>2</x:v>
      </x:c>
    </x:row>
  </x:sheetData>
  <x:mergeCells>
    <x:mergeCell ref="A1:I1"/>
  </x:mergeCells>
  <x:dataValidations count="2">
    <x:dataValidation type="list" sqref="F3:F50">
      <x:formula1>"S,M,L,XL"</x:formula1>
    </x:dataValidation>
    <x:dataValidation type="list" sqref="H3:H50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b9930890248e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Chatbot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C01</x:v>
      </x:c>
      <x:c r="B3" s="38" t="str">
        <x:v>AI Launcher — Collapsed</x:v>
      </x:c>
      <x:c r="C3" s="38" t="str">
        <x:v>AI</x:v>
      </x:c>
      <x:c r="D3" s="38" t="str">
        <x:v>Public / Guest / Host / WO/EO / Admin</x:v>
      </x:c>
      <x:c r="E3" s="38" t="str">
        <x:v>LOCKED SURFACE</x:v>
      </x:c>
      <x:c r="F3" s="38" t="str">
        <x:v>S</x:v>
      </x:c>
      <x:c r="G3" s="38" t="str">
        <x:v>UC-23</x:v>
      </x:c>
      <x:c r="H3" s="38" t="str">
        <x:v>PROPOSED 8.1</x:v>
      </x:c>
      <x:c r="I3" s="38" t="n">
        <x:f>IF(F3="S",1,IF(F3="M",2,IF(F3="L",3,IF(F3="XL",5,0))))</x:f>
        <x:v>1</x:v>
      </x:c>
    </x:row>
    <x:row r="4">
      <x:c r="A4" s="38" t="str">
        <x:v>C02</x:v>
      </x:c>
      <x:c r="B4" s="38" t="str">
        <x:v>AI Panel — Welcome / Suggested Prompts</x:v>
      </x:c>
      <x:c r="C4" s="38" t="str">
        <x:v>AI</x:v>
      </x:c>
      <x:c r="D4" s="38" t="str">
        <x:v>All AI surfaces</x:v>
      </x:c>
      <x:c r="E4" s="38" t="str">
        <x:v>UX-DERIVED</x:v>
      </x:c>
      <x:c r="F4" s="38" t="str">
        <x:v>M</x:v>
      </x:c>
      <x:c r="G4" s="38" t="str">
        <x:v>UC-23</x:v>
      </x:c>
      <x:c r="H4" s="38" t="str">
        <x:v>PROPOSED 8.1</x:v>
      </x:c>
      <x:c r="I4" s="38" t="n">
        <x:f>IF(F4="S",1,IF(F4="M",2,IF(F4="L",3,IF(F4="XL",5,0))))</x:f>
        <x:v>2</x:v>
      </x:c>
    </x:row>
    <x:row r="5">
      <x:c r="A5" s="38" t="str">
        <x:v>C03</x:v>
      </x:c>
      <x:c r="B5" s="38" t="str">
        <x:v>AI Active Conversation</x:v>
      </x:c>
      <x:c r="C5" s="38" t="str">
        <x:v>AI</x:v>
      </x:c>
      <x:c r="D5" s="38" t="str">
        <x:v>All AI surfaces</x:v>
      </x:c>
      <x:c r="E5" s="38" t="str">
        <x:v>LOCKED</x:v>
      </x:c>
      <x:c r="F5" s="38" t="str">
        <x:v>L</x:v>
      </x:c>
      <x:c r="G5" s="38" t="str">
        <x:v>UC-23</x:v>
      </x:c>
      <x:c r="H5" s="38" t="str">
        <x:v>PROPOSED 8.1</x:v>
      </x:c>
      <x:c r="I5" s="38" t="n">
        <x:f>IF(F5="S",1,IF(F5="M",2,IF(F5="L",3,IF(F5="XL",5,0))))</x:f>
        <x:v>3</x:v>
      </x:c>
    </x:row>
    <x:row r="6">
      <x:c r="A6" s="38" t="str">
        <x:v>C04</x:v>
      </x:c>
      <x:c r="B6" s="38" t="str">
        <x:v>AI Thinking / Streaming State</x:v>
      </x:c>
      <x:c r="C6" s="38" t="str">
        <x:v>AI</x:v>
      </x:c>
      <x:c r="D6" s="38" t="str">
        <x:v>All AI surfaces</x:v>
      </x:c>
      <x:c r="E6" s="38" t="str">
        <x:v>UX-DERIVED</x:v>
      </x:c>
      <x:c r="F6" s="38" t="str">
        <x:v>M</x:v>
      </x:c>
      <x:c r="G6" s="38" t="str">
        <x:v>UC-23</x:v>
      </x:c>
      <x:c r="H6" s="38" t="str">
        <x:v>PROPOSED 8.1</x:v>
      </x:c>
      <x:c r="I6" s="38" t="n">
        <x:f>IF(F6="S",1,IF(F6="M",2,IF(F6="L",3,IF(F6="XL",5,0))))</x:f>
        <x:v>2</x:v>
      </x:c>
    </x:row>
    <x:row r="7">
      <x:c r="A7" s="38" t="str">
        <x:v>C05</x:v>
      </x:c>
      <x:c r="B7" s="38" t="str">
        <x:v>AI Role / Context Scope Notice</x:v>
      </x:c>
      <x:c r="C7" s="38" t="str">
        <x:v>AI</x:v>
      </x:c>
      <x:c r="D7" s="38" t="str">
        <x:v>All AI surfaces</x:v>
      </x:c>
      <x:c r="E7" s="38" t="str">
        <x:v>UX-DERIVED</x:v>
      </x:c>
      <x:c r="F7" s="38" t="str">
        <x:v>S</x:v>
      </x:c>
      <x:c r="G7" s="38" t="str">
        <x:v>UC-23</x:v>
      </x:c>
      <x:c r="H7" s="38" t="str">
        <x:v>PROPOSED 8.1</x:v>
      </x:c>
      <x:c r="I7" s="38" t="n">
        <x:f>IF(F7="S",1,IF(F7="M",2,IF(F7="L",3,IF(F7="XL",5,0))))</x:f>
        <x:v>1</x:v>
      </x:c>
    </x:row>
    <x:row r="8">
      <x:c r="A8" s="38" t="str">
        <x:v>C06</x:v>
      </x:c>
      <x:c r="B8" s="38" t="str">
        <x:v>AI Unavailable Fallback</x:v>
      </x:c>
      <x:c r="C8" s="38" t="str">
        <x:v>AI</x:v>
      </x:c>
      <x:c r="D8" s="38" t="str">
        <x:v>All AI surfaces</x:v>
      </x:c>
      <x:c r="E8" s="38" t="str">
        <x:v>LOCKED UX</x:v>
      </x:c>
      <x:c r="F8" s="38" t="str">
        <x:v>M</x:v>
      </x:c>
      <x:c r="G8" s="38" t="str">
        <x:v>UC-23</x:v>
      </x:c>
      <x:c r="H8" s="38" t="str">
        <x:v>PROPOSED 8.1</x:v>
      </x:c>
      <x:c r="I8" s="38" t="n">
        <x:f>IF(F8="S",1,IF(F8="M",2,IF(F8="L",3,IF(F8="XL",5,0))))</x:f>
        <x:v>2</x:v>
      </x:c>
    </x:row>
    <x:row r="9">
      <x:c r="A9" s="38" t="str">
        <x:v>C07</x:v>
      </x:c>
      <x:c r="B9" s="38" t="str">
        <x:v>AI Rate Limited</x:v>
      </x:c>
      <x:c r="C9" s="38" t="str">
        <x:v>AI</x:v>
      </x:c>
      <x:c r="D9" s="38" t="str">
        <x:v>All AI surfaces</x:v>
      </x:c>
      <x:c r="E9" s="38" t="str">
        <x:v>UX-DERIVED</x:v>
      </x:c>
      <x:c r="F9" s="38" t="str">
        <x:v>S</x:v>
      </x:c>
      <x:c r="G9" s="38" t="str">
        <x:v>UC-23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C08</x:v>
      </x:c>
      <x:c r="B10" s="38" t="str">
        <x:v>AI Safety / Cannot Perform Mutation</x:v>
      </x:c>
      <x:c r="C10" s="38" t="str">
        <x:v>AI</x:v>
      </x:c>
      <x:c r="D10" s="38" t="str">
        <x:v>All AI surfaces</x:v>
      </x:c>
      <x:c r="E10" s="38" t="str">
        <x:v>LOCKED UX</x:v>
      </x:c>
      <x:c r="F10" s="38" t="str">
        <x:v>S</x:v>
      </x:c>
      <x:c r="G10" s="38" t="str">
        <x:v>UC-23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C09</x:v>
      </x:c>
      <x:c r="B11" s="38" t="str">
        <x:v>AI Mobile Full-Screen Mode</x:v>
      </x:c>
      <x:c r="C11" s="38" t="str">
        <x:v>AI</x:v>
      </x:c>
      <x:c r="D11" s="38" t="str">
        <x:v>All AI surfaces</x:v>
      </x:c>
      <x:c r="E11" s="38" t="str">
        <x:v>UX-DERIVED</x:v>
      </x:c>
      <x:c r="F11" s="38" t="str">
        <x:v>L</x:v>
      </x:c>
      <x:c r="G11" s="38" t="str">
        <x:v>NFR-05</x:v>
      </x:c>
      <x:c r="H11" s="38" t="str">
        <x:v>PROPOSED 8.1</x:v>
      </x:c>
      <x:c r="I11" s="38" t="n">
        <x:f>IF(F11="S",1,IF(F11="M",2,IF(F11="L",3,IF(F11="XL",5,0))))</x:f>
        <x:v>3</x:v>
      </x:c>
    </x:row>
  </x:sheetData>
  <x:mergeCells>
    <x:mergeCell ref="A1:I1"/>
  </x:mergeCells>
  <x:dataValidations count="2">
    <x:dataValidation type="list" sqref="F3:F11">
      <x:formula1>"S,M,L,XL"</x:formula1>
    </x:dataValidation>
    <x:dataValidation type="list" sqref="H3:H11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71d64c9ce453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Overlays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O01</x:v>
      </x:c>
      <x:c r="B3" s="38" t="str">
        <x:v>Camera Viewfinder HUD</x:v>
      </x:c>
      <x:c r="C3" s="38" t="str">
        <x:v>Camera</x:v>
      </x:c>
      <x:c r="D3" s="38" t="str">
        <x:v>Guest</x:v>
      </x:c>
      <x:c r="E3" s="38" t="str">
        <x:v>LOCKED</x:v>
      </x:c>
      <x:c r="F3" s="38" t="str">
        <x:v>XL</x:v>
      </x:c>
      <x:c r="G3" s="38" t="str">
        <x:v>UC-10/11</x:v>
      </x:c>
      <x:c r="H3" s="38" t="str">
        <x:v>PROPOSED 8.1</x:v>
      </x:c>
      <x:c r="I3" s="38" t="n">
        <x:f>IF(F3="S",1,IF(F3="M",2,IF(F3="L",3,IF(F3="XL",5,0))))</x:f>
        <x:v>5</x:v>
      </x:c>
    </x:row>
    <x:row r="4">
      <x:c r="A4" s="38" t="str">
        <x:v>O02</x:v>
      </x:c>
      <x:c r="B4" s="38" t="str">
        <x:v>Shutter Authorization Progress</x:v>
      </x:c>
      <x:c r="C4" s="38" t="str">
        <x:v>Camera</x:v>
      </x:c>
      <x:c r="D4" s="38" t="str">
        <x:v>Guest</x:v>
      </x:c>
      <x:c r="E4" s="38" t="str">
        <x:v>LOCKED UX</x:v>
      </x:c>
      <x:c r="F4" s="38" t="str">
        <x:v>M</x:v>
      </x:c>
      <x:c r="G4" s="38" t="str">
        <x:v>UC-12</x:v>
      </x:c>
      <x:c r="H4" s="38" t="str">
        <x:v>PROPOSED 8.1</x:v>
      </x:c>
      <x:c r="I4" s="38" t="n">
        <x:f>IF(F4="S",1,IF(F4="M",2,IF(F4="L",3,IF(F4="XL",5,0))))</x:f>
        <x:v>2</x:v>
      </x:c>
    </x:row>
    <x:row r="5">
      <x:c r="A5" s="38" t="str">
        <x:v>O03</x:v>
      </x:c>
      <x:c r="B5" s="38" t="str">
        <x:v>Photo Processing Overlay</x:v>
      </x:c>
      <x:c r="C5" s="38" t="str">
        <x:v>Camera</x:v>
      </x:c>
      <x:c r="D5" s="38" t="str">
        <x:v>Guest</x:v>
      </x:c>
      <x:c r="E5" s="38" t="str">
        <x:v>LOCKED UX</x:v>
      </x:c>
      <x:c r="F5" s="38" t="str">
        <x:v>M</x:v>
      </x:c>
      <x:c r="G5" s="38" t="str">
        <x:v>UC-11</x:v>
      </x:c>
      <x:c r="H5" s="38" t="str">
        <x:v>PROPOSED 8.1</x:v>
      </x:c>
      <x:c r="I5" s="38" t="n">
        <x:f>IF(F5="S",1,IF(F5="M",2,IF(F5="L",3,IF(F5="XL",5,0))))</x:f>
        <x:v>2</x:v>
      </x:c>
    </x:row>
    <x:row r="6">
      <x:c r="A6" s="38" t="str">
        <x:v>O04</x:v>
      </x:c>
      <x:c r="B6" s="38" t="str">
        <x:v>Upload Progress Overlay</x:v>
      </x:c>
      <x:c r="C6" s="38" t="str">
        <x:v>Upload</x:v>
      </x:c>
      <x:c r="D6" s="38" t="str">
        <x:v>Guest</x:v>
      </x:c>
      <x:c r="E6" s="38" t="str">
        <x:v>LOCKED UX</x:v>
      </x:c>
      <x:c r="F6" s="38" t="str">
        <x:v>M</x:v>
      </x:c>
      <x:c r="G6" s="38" t="str">
        <x:v>UC-12</x:v>
      </x:c>
      <x:c r="H6" s="38" t="str">
        <x:v>PROPOSED 8.1</x:v>
      </x:c>
      <x:c r="I6" s="38" t="n">
        <x:f>IF(F6="S",1,IF(F6="M",2,IF(F6="L",3,IF(F6="XL",5,0))))</x:f>
        <x:v>2</x:v>
      </x:c>
    </x:row>
    <x:row r="7">
      <x:c r="A7" s="38" t="str">
        <x:v>O05</x:v>
      </x:c>
      <x:c r="B7" s="38" t="str">
        <x:v>Capture Success Feedback</x:v>
      </x:c>
      <x:c r="C7" s="38" t="str">
        <x:v>Camera</x:v>
      </x:c>
      <x:c r="D7" s="38" t="str">
        <x:v>Guest</x:v>
      </x:c>
      <x:c r="E7" s="38" t="str">
        <x:v>UX-DERIVED</x:v>
      </x:c>
      <x:c r="F7" s="38" t="str">
        <x:v>M</x:v>
      </x:c>
      <x:c r="G7" s="38" t="str">
        <x:v>UC-12</x:v>
      </x:c>
      <x:c r="H7" s="38" t="str">
        <x:v>PROPOSED 8.1</x:v>
      </x:c>
      <x:c r="I7" s="38" t="n">
        <x:f>IF(F7="S",1,IF(F7="M",2,IF(F7="L",3,IF(F7="XL",5,0))))</x:f>
        <x:v>2</x:v>
      </x:c>
    </x:row>
    <x:row r="8">
      <x:c r="A8" s="38" t="str">
        <x:v>O06</x:v>
      </x:c>
      <x:c r="B8" s="38" t="str">
        <x:v>Media Lightbox / Viewer</x:v>
      </x:c>
      <x:c r="C8" s="38" t="str">
        <x:v>Media</x:v>
      </x:c>
      <x:c r="D8" s="38" t="str">
        <x:v>Host / Guest / WO / Admin with grant</x:v>
      </x:c>
      <x:c r="E8" s="38" t="str">
        <x:v>UX-DERIVED</x:v>
      </x:c>
      <x:c r="F8" s="38" t="str">
        <x:v>L</x:v>
      </x:c>
      <x:c r="G8" s="38" t="str">
        <x:v>UC-13/14/26</x:v>
      </x:c>
      <x:c r="H8" s="38" t="str">
        <x:v>PROPOSED 8.1</x:v>
      </x:c>
      <x:c r="I8" s="38" t="n">
        <x:f>IF(F8="S",1,IF(F8="M",2,IF(F8="L",3,IF(F8="XL",5,0))))</x:f>
        <x:v>3</x:v>
      </x:c>
    </x:row>
    <x:row r="9">
      <x:c r="A9" s="38" t="str">
        <x:v>O07</x:v>
      </x:c>
      <x:c r="B9" s="38" t="str">
        <x:v>Global Loading / Route Transition</x:v>
      </x:c>
      <x:c r="C9" s="38" t="str">
        <x:v>System</x:v>
      </x:c>
      <x:c r="D9" s="38" t="str">
        <x:v>All</x:v>
      </x:c>
      <x:c r="E9" s="38" t="str">
        <x:v>UX-DERIVED</x:v>
      </x:c>
      <x:c r="F9" s="38" t="str">
        <x:v>S</x:v>
      </x:c>
      <x:c r="G9" s="38" t="str">
        <x:v>Professional UX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O08</x:v>
      </x:c>
      <x:c r="B10" s="38" t="str">
        <x:v>Critical Reconnect / Retry Overlay</x:v>
      </x:c>
      <x:c r="C10" s="38" t="str">
        <x:v>System</x:v>
      </x:c>
      <x:c r="D10" s="38" t="str">
        <x:v>Guest / Host</x:v>
      </x:c>
      <x:c r="E10" s="38" t="str">
        <x:v>UX-DERIVED</x:v>
      </x:c>
      <x:c r="F10" s="38" t="str">
        <x:v>M</x:v>
      </x:c>
      <x:c r="G10" s="38" t="str">
        <x:v>NFR-04/05</x:v>
      </x:c>
      <x:c r="H10" s="38" t="str">
        <x:v>PROPOSED 8.1</x:v>
      </x:c>
      <x:c r="I10" s="38" t="n">
        <x:f>IF(F10="S",1,IF(F10="M",2,IF(F10="L",3,IF(F10="XL",5,0))))</x:f>
        <x:v>2</x:v>
      </x:c>
    </x:row>
  </x:sheetData>
  <x:mergeCells>
    <x:mergeCell ref="A1:I1"/>
  </x:mergeCells>
  <x:dataValidations count="2">
    <x:dataValidation type="list" sqref="F3:F10">
      <x:formula1>"S,M,L,XL"</x:formula1>
    </x:dataValidation>
    <x:dataValidation type="list" sqref="H3:H10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748a60db264f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11" hidden="0" customWidth="1"/>
    <x:col min="7" max="7" width="24" hidden="0" customWidth="1"/>
    <x:col min="8" max="8" width="16" hidden="0" customWidth="1"/>
    <x:col min="9" max="9" width="12" hidden="0" customWidth="1"/>
  </x:cols>
  <x:sheetData>
    <x:row r="1">
      <x:c r="A1" s="5" t="str">
        <x:v>Kepotret — Page States Registry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Code</x:v>
      </x:c>
      <x:c r="B2" s="14" t="str">
        <x:v>Name</x:v>
      </x:c>
      <x:c r="C2" s="14" t="str">
        <x:v>Area</x:v>
      </x:c>
      <x:c r="D2" s="14" t="str">
        <x:v>Actors</x:v>
      </x:c>
      <x:c r="E2" s="14" t="str">
        <x:v>Origin</x:v>
      </x:c>
      <x:c r="F2" s="14" t="str">
        <x:v>Complexity</x:v>
      </x:c>
      <x:c r="G2" s="14" t="str">
        <x:v>Trace / Source</x:v>
      </x:c>
      <x:c r="H2" s="14" t="str">
        <x:v>Status</x:v>
      </x:c>
      <x:c r="I2" s="14" t="str">
        <x:v>Effort Points</x:v>
      </x:c>
    </x:row>
    <x:row r="3">
      <x:c r="A3" s="38" t="str">
        <x:v>H38-S01</x:v>
      </x:c>
      <x:c r="B3" s="38" t="str">
        <x:v>Returned from provider — checking payment</x:v>
      </x:c>
      <x:c r="C3" s="38" t="str">
        <x:v>Payment</x:v>
      </x:c>
      <x:c r="D3" s="38" t="str">
        <x:v>Host</x:v>
      </x:c>
      <x:c r="E3" s="38" t="str">
        <x:v>LOCKED UX</x:v>
      </x:c>
      <x:c r="F3" s="38" t="str">
        <x:v>M</x:v>
      </x:c>
      <x:c r="G3" s="38" t="str">
        <x:v>UC-07</x:v>
      </x:c>
      <x:c r="H3" s="38" t="str">
        <x:v>PROPOSED 8.1</x:v>
      </x:c>
      <x:c r="I3" s="38" t="n">
        <x:f>IF(F3="S",1,IF(F3="M",2,IF(F3="L",3,IF(F3="XL",5,0))))</x:f>
        <x:v>2</x:v>
      </x:c>
    </x:row>
    <x:row r="4">
      <x:c r="A4" s="38" t="str">
        <x:v>H38-S02</x:v>
      </x:c>
      <x:c r="B4" s="38" t="str">
        <x:v>Payment verified success</x:v>
      </x:c>
      <x:c r="C4" s="38" t="str">
        <x:v>Payment</x:v>
      </x:c>
      <x:c r="D4" s="38" t="str">
        <x:v>Host</x:v>
      </x:c>
      <x:c r="E4" s="38" t="str">
        <x:v>LOCKED UX</x:v>
      </x:c>
      <x:c r="F4" s="38" t="str">
        <x:v>M</x:v>
      </x:c>
      <x:c r="G4" s="38" t="str">
        <x:v>UC-07</x:v>
      </x:c>
      <x:c r="H4" s="38" t="str">
        <x:v>PROPOSED 8.1</x:v>
      </x:c>
      <x:c r="I4" s="38" t="n">
        <x:f>IF(F4="S",1,IF(F4="M",2,IF(F4="L",3,IF(F4="XL",5,0))))</x:f>
        <x:v>2</x:v>
      </x:c>
    </x:row>
    <x:row r="5">
      <x:c r="A5" s="38" t="str">
        <x:v>H38-S03</x:v>
      </x:c>
      <x:c r="B5" s="38" t="str">
        <x:v>Payment pending verification</x:v>
      </x:c>
      <x:c r="C5" s="38" t="str">
        <x:v>Payment</x:v>
      </x:c>
      <x:c r="D5" s="38" t="str">
        <x:v>Host</x:v>
      </x:c>
      <x:c r="E5" s="38" t="str">
        <x:v>LOCKED UX</x:v>
      </x:c>
      <x:c r="F5" s="38" t="str">
        <x:v>M</x:v>
      </x:c>
      <x:c r="G5" s="38" t="str">
        <x:v>UC-07</x:v>
      </x:c>
      <x:c r="H5" s="38" t="str">
        <x:v>PROPOSED 8.1</x:v>
      </x:c>
      <x:c r="I5" s="38" t="n">
        <x:f>IF(F5="S",1,IF(F5="M",2,IF(F5="L",3,IF(F5="XL",5,0))))</x:f>
        <x:v>2</x:v>
      </x:c>
    </x:row>
    <x:row r="6">
      <x:c r="A6" s="38" t="str">
        <x:v>H38-S04</x:v>
      </x:c>
      <x:c r="B6" s="38" t="str">
        <x:v>Payment failed</x:v>
      </x:c>
      <x:c r="C6" s="38" t="str">
        <x:v>Payment</x:v>
      </x:c>
      <x:c r="D6" s="38" t="str">
        <x:v>Host</x:v>
      </x:c>
      <x:c r="E6" s="38" t="str">
        <x:v>LOCKED UX</x:v>
      </x:c>
      <x:c r="F6" s="38" t="str">
        <x:v>M</x:v>
      </x:c>
      <x:c r="G6" s="38" t="str">
        <x:v>UC-07</x:v>
      </x:c>
      <x:c r="H6" s="38" t="str">
        <x:v>PROPOSED 8.1</x:v>
      </x:c>
      <x:c r="I6" s="38" t="n">
        <x:f>IF(F6="S",1,IF(F6="M",2,IF(F6="L",3,IF(F6="XL",5,0))))</x:f>
        <x:v>2</x:v>
      </x:c>
    </x:row>
    <x:row r="7">
      <x:c r="A7" s="38" t="str">
        <x:v>H38-S05</x:v>
      </x:c>
      <x:c r="B7" s="38" t="str">
        <x:v>Payment expired</x:v>
      </x:c>
      <x:c r="C7" s="38" t="str">
        <x:v>Payment</x:v>
      </x:c>
      <x:c r="D7" s="38" t="str">
        <x:v>Host</x:v>
      </x:c>
      <x:c r="E7" s="38" t="str">
        <x:v>LOCKED UX</x:v>
      </x:c>
      <x:c r="F7" s="38" t="str">
        <x:v>M</x:v>
      </x:c>
      <x:c r="G7" s="38" t="str">
        <x:v>UC-07</x:v>
      </x:c>
      <x:c r="H7" s="38" t="str">
        <x:v>PROPOSED 8.1</x:v>
      </x:c>
      <x:c r="I7" s="38" t="n">
        <x:f>IF(F7="S",1,IF(F7="M",2,IF(F7="L",3,IF(F7="XL",5,0))))</x:f>
        <x:v>2</x:v>
      </x:c>
    </x:row>
    <x:row r="8">
      <x:c r="A8" s="38" t="str">
        <x:v>H51-S01</x:v>
      </x:c>
      <x:c r="B8" s="38" t="str">
        <x:v>Export queued</x:v>
      </x:c>
      <x:c r="C8" s="38" t="str">
        <x:v>Export</x:v>
      </x:c>
      <x:c r="D8" s="38" t="str">
        <x:v>Host / can_export_zip</x:v>
      </x:c>
      <x:c r="E8" s="38" t="str">
        <x:v>LOCKED UX</x:v>
      </x:c>
      <x:c r="F8" s="38" t="str">
        <x:v>S</x:v>
      </x:c>
      <x:c r="G8" s="38" t="str">
        <x:v>UC-18</x:v>
      </x:c>
      <x:c r="H8" s="38" t="str">
        <x:v>PROPOSED 8.1</x:v>
      </x:c>
      <x:c r="I8" s="38" t="n">
        <x:f>IF(F8="S",1,IF(F8="M",2,IF(F8="L",3,IF(F8="XL",5,0))))</x:f>
        <x:v>1</x:v>
      </x:c>
    </x:row>
    <x:row r="9">
      <x:c r="A9" s="38" t="str">
        <x:v>H51-S02</x:v>
      </x:c>
      <x:c r="B9" s="38" t="str">
        <x:v>Export running</x:v>
      </x:c>
      <x:c r="C9" s="38" t="str">
        <x:v>Export</x:v>
      </x:c>
      <x:c r="D9" s="38" t="str">
        <x:v>Host / can_export_zip</x:v>
      </x:c>
      <x:c r="E9" s="38" t="str">
        <x:v>LOCKED UX</x:v>
      </x:c>
      <x:c r="F9" s="38" t="str">
        <x:v>S</x:v>
      </x:c>
      <x:c r="G9" s="38" t="str">
        <x:v>UC-18</x:v>
      </x:c>
      <x:c r="H9" s="38" t="str">
        <x:v>PROPOSED 8.1</x:v>
      </x:c>
      <x:c r="I9" s="38" t="n">
        <x:f>IF(F9="S",1,IF(F9="M",2,IF(F9="L",3,IF(F9="XL",5,0))))</x:f>
        <x:v>1</x:v>
      </x:c>
    </x:row>
    <x:row r="10">
      <x:c r="A10" s="38" t="str">
        <x:v>H51-S03</x:v>
      </x:c>
      <x:c r="B10" s="38" t="str">
        <x:v>Export ready</x:v>
      </x:c>
      <x:c r="C10" s="38" t="str">
        <x:v>Export</x:v>
      </x:c>
      <x:c r="D10" s="38" t="str">
        <x:v>Host / can_export_zip</x:v>
      </x:c>
      <x:c r="E10" s="38" t="str">
        <x:v>LOCKED UX</x:v>
      </x:c>
      <x:c r="F10" s="38" t="str">
        <x:v>S</x:v>
      </x:c>
      <x:c r="G10" s="38" t="str">
        <x:v>UC-18</x:v>
      </x:c>
      <x:c r="H10" s="38" t="str">
        <x:v>PROPOSED 8.1</x:v>
      </x:c>
      <x:c r="I10" s="38" t="n">
        <x:f>IF(F10="S",1,IF(F10="M",2,IF(F10="L",3,IF(F10="XL",5,0))))</x:f>
        <x:v>1</x:v>
      </x:c>
    </x:row>
    <x:row r="11">
      <x:c r="A11" s="38" t="str">
        <x:v>H51-S04</x:v>
      </x:c>
      <x:c r="B11" s="38" t="str">
        <x:v>Export failed</x:v>
      </x:c>
      <x:c r="C11" s="38" t="str">
        <x:v>Export</x:v>
      </x:c>
      <x:c r="D11" s="38" t="str">
        <x:v>Host / can_export_zip</x:v>
      </x:c>
      <x:c r="E11" s="38" t="str">
        <x:v>LOCKED UX</x:v>
      </x:c>
      <x:c r="F11" s="38" t="str">
        <x:v>S</x:v>
      </x:c>
      <x:c r="G11" s="38" t="str">
        <x:v>UC-18</x:v>
      </x:c>
      <x:c r="H11" s="38" t="str">
        <x:v>PROPOSED 8.1</x:v>
      </x:c>
      <x:c r="I11" s="38" t="n">
        <x:f>IF(F11="S",1,IF(F11="M",2,IF(F11="L",3,IF(F11="XL",5,0))))</x:f>
        <x:v>1</x:v>
      </x:c>
    </x:row>
    <x:row r="12">
      <x:c r="A12" s="38" t="str">
        <x:v>H51-S05</x:v>
      </x:c>
      <x:c r="B12" s="38" t="str">
        <x:v>Export invalidated</x:v>
      </x:c>
      <x:c r="C12" s="38" t="str">
        <x:v>Export</x:v>
      </x:c>
      <x:c r="D12" s="38" t="str">
        <x:v>Host / can_export_zip</x:v>
      </x:c>
      <x:c r="E12" s="38" t="str">
        <x:v>LOCKED UX</x:v>
      </x:c>
      <x:c r="F12" s="38" t="str">
        <x:v>S</x:v>
      </x:c>
      <x:c r="G12" s="38" t="str">
        <x:v>UC-18</x:v>
      </x:c>
      <x:c r="H12" s="38" t="str">
        <x:v>PROPOSED 8.1</x:v>
      </x:c>
      <x:c r="I12" s="38" t="n">
        <x:f>IF(F12="S",1,IF(F12="M",2,IF(F12="L",3,IF(F12="XL",5,0))))</x:f>
        <x:v>1</x:v>
      </x:c>
    </x:row>
    <x:row r="13">
      <x:c r="A13" s="38" t="str">
        <x:v>H51-S06</x:v>
      </x:c>
      <x:c r="B13" s="38" t="str">
        <x:v>Export expired</x:v>
      </x:c>
      <x:c r="C13" s="38" t="str">
        <x:v>Export</x:v>
      </x:c>
      <x:c r="D13" s="38" t="str">
        <x:v>Host / can_export_zip</x:v>
      </x:c>
      <x:c r="E13" s="38" t="str">
        <x:v>LOCKED UX</x:v>
      </x:c>
      <x:c r="F13" s="38" t="str">
        <x:v>S</x:v>
      </x:c>
      <x:c r="G13" s="38" t="str">
        <x:v>UC-18</x:v>
      </x:c>
      <x:c r="H13" s="38" t="str">
        <x:v>PROPOSED 8.1</x:v>
      </x:c>
      <x:c r="I13" s="38" t="n">
        <x:f>IF(F13="S",1,IF(F13="M",2,IF(F13="L",3,IF(F13="XL",5,0))))</x:f>
        <x:v>1</x:v>
      </x:c>
    </x:row>
    <x:row r="14">
      <x:c r="A14" s="38" t="str">
        <x:v>H69-S01</x:v>
      </x:c>
      <x:c r="B14" s="38" t="str">
        <x:v>Camera initializing</x:v>
      </x:c>
      <x:c r="C14" s="38" t="str">
        <x:v>Camera</x:v>
      </x:c>
      <x:c r="D14" s="38" t="str">
        <x:v>Guest</x:v>
      </x:c>
      <x:c r="E14" s="38" t="str">
        <x:v>LOCKED UX</x:v>
      </x:c>
      <x:c r="F14" s="38" t="str">
        <x:v>S</x:v>
      </x:c>
      <x:c r="G14" s="38" t="str">
        <x:v>UC-10</x:v>
      </x:c>
      <x:c r="H14" s="38" t="str">
        <x:v>PROPOSED 8.1</x:v>
      </x:c>
      <x:c r="I14" s="38" t="n">
        <x:f>IF(F14="S",1,IF(F14="M",2,IF(F14="L",3,IF(F14="XL",5,0))))</x:f>
        <x:v>1</x:v>
      </x:c>
    </x:row>
    <x:row r="15">
      <x:c r="A15" s="38" t="str">
        <x:v>H69-S02</x:v>
      </x:c>
      <x:c r="B15" s="38" t="str">
        <x:v>Camera ready</x:v>
      </x:c>
      <x:c r="C15" s="38" t="str">
        <x:v>Camera</x:v>
      </x:c>
      <x:c r="D15" s="38" t="str">
        <x:v>Guest</x:v>
      </x:c>
      <x:c r="E15" s="38" t="str">
        <x:v>LOCKED UX</x:v>
      </x:c>
      <x:c r="F15" s="38" t="str">
        <x:v>S</x:v>
      </x:c>
      <x:c r="G15" s="38" t="str">
        <x:v>UC-10</x:v>
      </x:c>
      <x:c r="H15" s="38" t="str">
        <x:v>PROPOSED 8.1</x:v>
      </x:c>
      <x:c r="I15" s="38" t="n">
        <x:f>IF(F15="S",1,IF(F15="M",2,IF(F15="L",3,IF(F15="XL",5,0))))</x:f>
        <x:v>1</x:v>
      </x:c>
    </x:row>
    <x:row r="16">
      <x:c r="A16" s="38" t="str">
        <x:v>H69-S03</x:v>
      </x:c>
      <x:c r="B16" s="38" t="str">
        <x:v>Capture reservation request</x:v>
      </x:c>
      <x:c r="C16" s="38" t="str">
        <x:v>Camera</x:v>
      </x:c>
      <x:c r="D16" s="38" t="str">
        <x:v>Guest</x:v>
      </x:c>
      <x:c r="E16" s="38" t="str">
        <x:v>LOCKED UX</x:v>
      </x:c>
      <x:c r="F16" s="38" t="str">
        <x:v>M</x:v>
      </x:c>
      <x:c r="G16" s="38" t="str">
        <x:v>UC-12</x:v>
      </x:c>
      <x:c r="H16" s="38" t="str">
        <x:v>PROPOSED 8.1</x:v>
      </x:c>
      <x:c r="I16" s="38" t="n">
        <x:f>IF(F16="S",1,IF(F16="M",2,IF(F16="L",3,IF(F16="XL",5,0))))</x:f>
        <x:v>2</x:v>
      </x:c>
    </x:row>
    <x:row r="17">
      <x:c r="A17" s="38" t="str">
        <x:v>H69-S04</x:v>
      </x:c>
      <x:c r="B17" s="38" t="str">
        <x:v>Capture unavailable</x:v>
      </x:c>
      <x:c r="C17" s="38" t="str">
        <x:v>Camera</x:v>
      </x:c>
      <x:c r="D17" s="38" t="str">
        <x:v>Guest</x:v>
      </x:c>
      <x:c r="E17" s="38" t="str">
        <x:v>LOCKED UX</x:v>
      </x:c>
      <x:c r="F17" s="38" t="str">
        <x:v>M</x:v>
      </x:c>
      <x:c r="G17" s="38" t="str">
        <x:v>UC-12</x:v>
      </x:c>
      <x:c r="H17" s="38" t="str">
        <x:v>PROPOSED 8.1</x:v>
      </x:c>
      <x:c r="I17" s="38" t="n">
        <x:f>IF(F17="S",1,IF(F17="M",2,IF(F17="L",3,IF(F17="XL",5,0))))</x:f>
        <x:v>2</x:v>
      </x:c>
    </x:row>
    <x:row r="18">
      <x:c r="A18" s="38" t="str">
        <x:v>H71-S01</x:v>
      </x:c>
      <x:c r="B18" s="38" t="str">
        <x:v>Processing final JPEG</x:v>
      </x:c>
      <x:c r="C18" s="38" t="str">
        <x:v>Upload</x:v>
      </x:c>
      <x:c r="D18" s="38" t="str">
        <x:v>Guest</x:v>
      </x:c>
      <x:c r="E18" s="38" t="str">
        <x:v>LOCKED UX</x:v>
      </x:c>
      <x:c r="F18" s="38" t="str">
        <x:v>S</x:v>
      </x:c>
      <x:c r="G18" s="38" t="str">
        <x:v>UC-11</x:v>
      </x:c>
      <x:c r="H18" s="38" t="str">
        <x:v>PROPOSED 8.1</x:v>
      </x:c>
      <x:c r="I18" s="38" t="n">
        <x:f>IF(F18="S",1,IF(F18="M",2,IF(F18="L",3,IF(F18="XL",5,0))))</x:f>
        <x:v>1</x:v>
      </x:c>
    </x:row>
    <x:row r="19">
      <x:c r="A19" s="38" t="str">
        <x:v>H71-S02</x:v>
      </x:c>
      <x:c r="B19" s="38" t="str">
        <x:v>Authorizing upload</x:v>
      </x:c>
      <x:c r="C19" s="38" t="str">
        <x:v>Upload</x:v>
      </x:c>
      <x:c r="D19" s="38" t="str">
        <x:v>Guest</x:v>
      </x:c>
      <x:c r="E19" s="38" t="str">
        <x:v>LOCKED UX</x:v>
      </x:c>
      <x:c r="F19" s="38" t="str">
        <x:v>S</x:v>
      </x:c>
      <x:c r="G19" s="38" t="str">
        <x:v>UC-12</x:v>
      </x:c>
      <x:c r="H19" s="38" t="str">
        <x:v>PROPOSED 8.1</x:v>
      </x:c>
      <x:c r="I19" s="38" t="n">
        <x:f>IF(F19="S",1,IF(F19="M",2,IF(F19="L",3,IF(F19="XL",5,0))))</x:f>
        <x:v>1</x:v>
      </x:c>
    </x:row>
    <x:row r="20">
      <x:c r="A20" s="38" t="str">
        <x:v>H71-S03</x:v>
      </x:c>
      <x:c r="B20" s="38" t="str">
        <x:v>Uploading direct to private storage</x:v>
      </x:c>
      <x:c r="C20" s="38" t="str">
        <x:v>Upload</x:v>
      </x:c>
      <x:c r="D20" s="38" t="str">
        <x:v>Guest</x:v>
      </x:c>
      <x:c r="E20" s="38" t="str">
        <x:v>LOCKED UX</x:v>
      </x:c>
      <x:c r="F20" s="38" t="str">
        <x:v>M</x:v>
      </x:c>
      <x:c r="G20" s="38" t="str">
        <x:v>UC-12</x:v>
      </x:c>
      <x:c r="H20" s="38" t="str">
        <x:v>PROPOSED 8.1</x:v>
      </x:c>
      <x:c r="I20" s="38" t="n">
        <x:f>IF(F20="S",1,IF(F20="M",2,IF(F20="L",3,IF(F20="XL",5,0))))</x:f>
        <x:v>2</x:v>
      </x:c>
    </x:row>
    <x:row r="21">
      <x:c r="A21" s="38" t="str">
        <x:v>H71-S04</x:v>
      </x:c>
      <x:c r="B21" s="38" t="str">
        <x:v>Server verifying &amp; committing</x:v>
      </x:c>
      <x:c r="C21" s="38" t="str">
        <x:v>Upload</x:v>
      </x:c>
      <x:c r="D21" s="38" t="str">
        <x:v>Guest</x:v>
      </x:c>
      <x:c r="E21" s="38" t="str">
        <x:v>LOCKED UX</x:v>
      </x:c>
      <x:c r="F21" s="38" t="str">
        <x:v>M</x:v>
      </x:c>
      <x:c r="G21" s="38" t="str">
        <x:v>UC-12</x:v>
      </x:c>
      <x:c r="H21" s="38" t="str">
        <x:v>PROPOSED 8.1</x:v>
      </x:c>
      <x:c r="I21" s="38" t="n">
        <x:f>IF(F21="S",1,IF(F21="M",2,IF(F21="L",3,IF(F21="XL",5,0))))</x:f>
        <x:v>2</x:v>
      </x:c>
    </x:row>
    <x:row r="22">
      <x:c r="A22" s="38" t="str">
        <x:v>H71-S05</x:v>
      </x:c>
      <x:c r="B22" s="38" t="str">
        <x:v>Saved successfully</x:v>
      </x:c>
      <x:c r="C22" s="38" t="str">
        <x:v>Upload</x:v>
      </x:c>
      <x:c r="D22" s="38" t="str">
        <x:v>Guest</x:v>
      </x:c>
      <x:c r="E22" s="38" t="str">
        <x:v>LOCKED UX</x:v>
      </x:c>
      <x:c r="F22" s="38" t="str">
        <x:v>S</x:v>
      </x:c>
      <x:c r="G22" s="38" t="str">
        <x:v>UC-12</x:v>
      </x:c>
      <x:c r="H22" s="38" t="str">
        <x:v>PROPOSED 8.1</x:v>
      </x:c>
      <x:c r="I22" s="38" t="n">
        <x:f>IF(F22="S",1,IF(F22="M",2,IF(F22="L",3,IF(F22="XL",5,0))))</x:f>
        <x:v>1</x:v>
      </x:c>
    </x:row>
    <x:row r="23">
      <x:c r="A23" s="38" t="str">
        <x:v>H73-S01</x:v>
      </x:c>
      <x:c r="B23" s="38" t="str">
        <x:v>Gallery loading</x:v>
      </x:c>
      <x:c r="C23" s="38" t="str">
        <x:v>Gallery</x:v>
      </x:c>
      <x:c r="D23" s="38" t="str">
        <x:v>Guest</x:v>
      </x:c>
      <x:c r="E23" s="38" t="str">
        <x:v>UX-DERIVED</x:v>
      </x:c>
      <x:c r="F23" s="38" t="str">
        <x:v>S</x:v>
      </x:c>
      <x:c r="G23" s="38" t="str">
        <x:v>UC-13</x:v>
      </x:c>
      <x:c r="H23" s="38" t="str">
        <x:v>PROPOSED 8.1</x:v>
      </x:c>
      <x:c r="I23" s="38" t="n">
        <x:f>IF(F23="S",1,IF(F23="M",2,IF(F23="L",3,IF(F23="XL",5,0))))</x:f>
        <x:v>1</x:v>
      </x:c>
    </x:row>
    <x:row r="24">
      <x:c r="A24" s="38" t="str">
        <x:v>H73-S02</x:v>
      </x:c>
      <x:c r="B24" s="38" t="str">
        <x:v>Gallery populated</x:v>
      </x:c>
      <x:c r="C24" s="38" t="str">
        <x:v>Gallery</x:v>
      </x:c>
      <x:c r="D24" s="38" t="str">
        <x:v>Guest</x:v>
      </x:c>
      <x:c r="E24" s="38" t="str">
        <x:v>LOCKED UX</x:v>
      </x:c>
      <x:c r="F24" s="38" t="str">
        <x:v>S</x:v>
      </x:c>
      <x:c r="G24" s="38" t="str">
        <x:v>UC-13</x:v>
      </x:c>
      <x:c r="H24" s="38" t="str">
        <x:v>PROPOSED 8.1</x:v>
      </x:c>
      <x:c r="I24" s="38" t="n">
        <x:f>IF(F24="S",1,IF(F24="M",2,IF(F24="L",3,IF(F24="XL",5,0))))</x:f>
        <x:v>1</x:v>
      </x:c>
    </x:row>
    <x:row r="25">
      <x:c r="A25" s="38" t="str">
        <x:v>H73-S03</x:v>
      </x:c>
      <x:c r="B25" s="38" t="str">
        <x:v>Gallery empty after reveal</x:v>
      </x:c>
      <x:c r="C25" s="38" t="str">
        <x:v>Gallery</x:v>
      </x:c>
      <x:c r="D25" s="38" t="str">
        <x:v>Guest</x:v>
      </x:c>
      <x:c r="E25" s="38" t="str">
        <x:v>UX-DERIVED</x:v>
      </x:c>
      <x:c r="F25" s="38" t="str">
        <x:v>S</x:v>
      </x:c>
      <x:c r="G25" s="38" t="str">
        <x:v>UC-13</x:v>
      </x:c>
      <x:c r="H25" s="38" t="str">
        <x:v>PROPOSED 8.1</x:v>
      </x:c>
      <x:c r="I25" s="38" t="n">
        <x:f>IF(F25="S",1,IF(F25="M",2,IF(F25="L",3,IF(F25="XL",5,0))))</x:f>
        <x:v>1</x:v>
      </x:c>
    </x:row>
    <x:row r="26">
      <x:c r="A26" s="38" t="str">
        <x:v>H55-S01</x:v>
      </x:c>
      <x:c r="B26" s="38" t="str">
        <x:v>Recovery available but not activated</x:v>
      </x:c>
      <x:c r="C26" s="38" t="str">
        <x:v>Lifecycle</x:v>
      </x:c>
      <x:c r="D26" s="38" t="str">
        <x:v>Host</x:v>
      </x:c>
      <x:c r="E26" s="38" t="str">
        <x:v>LOCKED UX</x:v>
      </x:c>
      <x:c r="F26" s="38" t="str">
        <x:v>S</x:v>
      </x:c>
      <x:c r="G26" s="38" t="str">
        <x:v>UC-22</x:v>
      </x:c>
      <x:c r="H26" s="38" t="str">
        <x:v>PROPOSED 8.1</x:v>
      </x:c>
      <x:c r="I26" s="38" t="n">
        <x:f>IF(F26="S",1,IF(F26="M",2,IF(F26="L",3,IF(F26="XL",5,0))))</x:f>
        <x:v>1</x:v>
      </x:c>
    </x:row>
    <x:row r="27">
      <x:c r="A27" s="38" t="str">
        <x:v>H55-S02</x:v>
      </x:c>
      <x:c r="B27" s="38" t="str">
        <x:v>Recovery active</x:v>
      </x:c>
      <x:c r="C27" s="38" t="str">
        <x:v>Lifecycle</x:v>
      </x:c>
      <x:c r="D27" s="38" t="str">
        <x:v>Host</x:v>
      </x:c>
      <x:c r="E27" s="38" t="str">
        <x:v>LOCKED UX</x:v>
      </x:c>
      <x:c r="F27" s="38" t="str">
        <x:v>S</x:v>
      </x:c>
      <x:c r="G27" s="38" t="str">
        <x:v>UC-22</x:v>
      </x:c>
      <x:c r="H27" s="38" t="str">
        <x:v>PROPOSED 8.1</x:v>
      </x:c>
      <x:c r="I27" s="38" t="n">
        <x:f>IF(F27="S",1,IF(F27="M",2,IF(F27="L",3,IF(F27="XL",5,0))))</x:f>
        <x:v>1</x:v>
      </x:c>
    </x:row>
    <x:row r="28">
      <x:c r="A28" s="38" t="str">
        <x:v>H55-S03</x:v>
      </x:c>
      <x:c r="B28" s="38" t="str">
        <x:v>Recovery expired</x:v>
      </x:c>
      <x:c r="C28" s="38" t="str">
        <x:v>Lifecycle</x:v>
      </x:c>
      <x:c r="D28" s="38" t="str">
        <x:v>Host</x:v>
      </x:c>
      <x:c r="E28" s="38" t="str">
        <x:v>LOCKED UX</x:v>
      </x:c>
      <x:c r="F28" s="38" t="str">
        <x:v>S</x:v>
      </x:c>
      <x:c r="G28" s="38" t="str">
        <x:v>UC-22</x:v>
      </x:c>
      <x:c r="H28" s="38" t="str">
        <x:v>PROPOSED 8.1</x:v>
      </x:c>
      <x:c r="I28" s="38" t="n">
        <x:f>IF(F28="S",1,IF(F28="M",2,IF(F28="L",3,IF(F28="XL",5,0))))</x:f>
        <x:v>1</x:v>
      </x:c>
    </x:row>
    <x:row r="29">
      <x:c r="A29" s="38" t="str">
        <x:v>H91-S01</x:v>
      </x:c>
      <x:c r="B29" s="38" t="str">
        <x:v>No sensitive grant</x:v>
      </x:c>
      <x:c r="C29" s="38" t="str">
        <x:v>Admin Security</x:v>
      </x:c>
      <x:c r="D29" s="38" t="str">
        <x:v>Superadmin</x:v>
      </x:c>
      <x:c r="E29" s="38" t="str">
        <x:v>LOCKED UX</x:v>
      </x:c>
      <x:c r="F29" s="38" t="str">
        <x:v>S</x:v>
      </x:c>
      <x:c r="G29" s="38" t="str">
        <x:v>UC-26</x:v>
      </x:c>
      <x:c r="H29" s="38" t="str">
        <x:v>PROPOSED 8.1</x:v>
      </x:c>
      <x:c r="I29" s="38" t="n">
        <x:f>IF(F29="S",1,IF(F29="M",2,IF(F29="L",3,IF(F29="XL",5,0))))</x:f>
        <x:v>1</x:v>
      </x:c>
    </x:row>
    <x:row r="30">
      <x:c r="A30" s="38" t="str">
        <x:v>H91-S02</x:v>
      </x:c>
      <x:c r="B30" s="38" t="str">
        <x:v>Grant active — view-only</x:v>
      </x:c>
      <x:c r="C30" s="38" t="str">
        <x:v>Admin Security</x:v>
      </x:c>
      <x:c r="D30" s="38" t="str">
        <x:v>Superadmin</x:v>
      </x:c>
      <x:c r="E30" s="38" t="str">
        <x:v>LOCKED UX</x:v>
      </x:c>
      <x:c r="F30" s="38" t="str">
        <x:v>M</x:v>
      </x:c>
      <x:c r="G30" s="38" t="str">
        <x:v>UC-26</x:v>
      </x:c>
      <x:c r="H30" s="38" t="str">
        <x:v>PROPOSED 8.1</x:v>
      </x:c>
      <x:c r="I30" s="38" t="n">
        <x:f>IF(F30="S",1,IF(F30="M",2,IF(F30="L",3,IF(F30="XL",5,0))))</x:f>
        <x:v>2</x:v>
      </x:c>
    </x:row>
    <x:row r="31">
      <x:c r="A31" s="38" t="str">
        <x:v>H91-S03</x:v>
      </x:c>
      <x:c r="B31" s="38" t="str">
        <x:v>Grant expired/revoked</x:v>
      </x:c>
      <x:c r="C31" s="38" t="str">
        <x:v>Admin Security</x:v>
      </x:c>
      <x:c r="D31" s="38" t="str">
        <x:v>Superadmin</x:v>
      </x:c>
      <x:c r="E31" s="38" t="str">
        <x:v>LOCKED UX</x:v>
      </x:c>
      <x:c r="F31" s="38" t="str">
        <x:v>S</x:v>
      </x:c>
      <x:c r="G31" s="38" t="str">
        <x:v>UC-26</x:v>
      </x:c>
      <x:c r="H31" s="38" t="str">
        <x:v>PROPOSED 8.1</x:v>
      </x:c>
      <x:c r="I31" s="38" t="n">
        <x:f>IF(F31="S",1,IF(F31="M",2,IF(F31="L",3,IF(F31="XL",5,0))))</x:f>
        <x:v>1</x:v>
      </x:c>
    </x:row>
  </x:sheetData>
  <x:mergeCells>
    <x:mergeCell ref="A1:I1"/>
  </x:mergeCells>
  <x:dataValidations count="2">
    <x:dataValidation type="list" sqref="F3:F31">
      <x:formula1>"S,M,L,XL"</x:formula1>
    </x:dataValidation>
    <x:dataValidation type="list" sqref="H3:H31">
      <x:formula1>"PROPOSED 8.1,APPROVED,DESIGNING,DESIGNED,IMPLEMENTED,DEFERRED"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cf90f8c4bb4d5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50" hidden="0" customWidth="1"/>
  </x:cols>
  <x:sheetData>
    <x:row r="1">
      <x:c r="A1" s="5" t="str">
        <x:v>Page count by product area</x:v>
      </x:c>
      <x:c r="B1" s="5"/>
      <x:c r="C1" s="5"/>
      <x:c r="D1" s="5"/>
    </x:row>
    <x:row r="2">
      <x:c r="A2" s="14" t="str">
        <x:v>Area</x:v>
      </x:c>
      <x:c r="B2" s="14" t="str">
        <x:v>Pages</x:v>
      </x:c>
      <x:c r="C2" s="14" t="str">
        <x:v>Effort Points</x:v>
      </x:c>
      <x:c r="D2" s="14" t="str">
        <x:v>Frontend interpretation</x:v>
      </x:c>
    </x:row>
    <x:row r="3">
      <x:c r="A3" s="33" t="str">
        <x:v>Account</x:v>
      </x:c>
      <x:c r="B3" s="33" t="n">
        <x:f>COUNTIF(Pages!C:C,A3)</x:f>
        <x:v>1</x:v>
      </x:c>
      <x:c r="C3" s="33" t="n">
        <x:f>SUMIF(Pages!C:C,A3,Pages!I:I)</x:f>
        <x:v>2</x:v>
      </x:c>
      <x:c r="D3" s="33" t="str">
        <x:v>Shared design-system reuse should be considered before converting this count to days.</x:v>
      </x:c>
    </x:row>
    <x:row r="4">
      <x:c r="A4" s="33" t="str">
        <x:v>Admin Auth</x:v>
      </x:c>
      <x:c r="B4" s="33" t="n">
        <x:f>COUNTIF(Pages!C:C,A4)</x:f>
        <x:v>3</x:v>
      </x:c>
      <x:c r="C4" s="33" t="n">
        <x:f>SUMIF(Pages!C:C,A4,Pages!I:I)</x:f>
        <x:v>5</x:v>
      </x:c>
      <x:c r="D4" s="33" t="str">
        <x:v>Shared design-system reuse should be considered before converting this count to days.</x:v>
      </x:c>
    </x:row>
    <x:row r="5">
      <x:c r="A5" s="33" t="str">
        <x:v>Album Setup</x:v>
      </x:c>
      <x:c r="B5" s="33" t="n">
        <x:f>COUNTIF(Pages!C:C,A5)</x:f>
        <x:v>9</x:v>
      </x:c>
      <x:c r="C5" s="33" t="n">
        <x:f>SUMIF(Pages!C:C,A5,Pages!I:I)</x:f>
        <x:v>30</x:v>
      </x:c>
      <x:c r="D5" s="33" t="str">
        <x:v>Shared design-system reuse should be considered before converting this count to days.</x:v>
      </x:c>
    </x:row>
    <x:row r="6">
      <x:c r="A6" s="33" t="str">
        <x:v>Auth</x:v>
      </x:c>
      <x:c r="B6" s="33" t="n">
        <x:f>COUNTIF(Pages!C:C,A6)</x:f>
        <x:v>4</x:v>
      </x:c>
      <x:c r="C6" s="33" t="n">
        <x:f>SUMIF(Pages!C:C,A6,Pages!I:I)</x:f>
        <x:v>5</x:v>
      </x:c>
      <x:c r="D6" s="33" t="str">
        <x:v>Shared design-system reuse should be considered before converting this count to days.</x:v>
      </x:c>
    </x:row>
    <x:row r="7">
      <x:c r="A7" s="33" t="str">
        <x:v>Auth/Collaboration</x:v>
      </x:c>
      <x:c r="B7" s="33" t="n">
        <x:f>COUNTIF(Pages!C:C,A7)</x:f>
        <x:v>2</x:v>
      </x:c>
      <x:c r="C7" s="33" t="n">
        <x:f>SUMIF(Pages!C:C,A7,Pages!I:I)</x:f>
        <x:v>3</x:v>
      </x:c>
      <x:c r="D7" s="33" t="str">
        <x:v>Shared design-system reuse should be considered before converting this count to days.</x:v>
      </x:c>
    </x:row>
    <x:row r="8">
      <x:c r="A8" s="33" t="str">
        <x:v>Collaboration</x:v>
      </x:c>
      <x:c r="B8" s="33" t="n">
        <x:f>COUNTIF(Pages!C:C,A8)</x:f>
        <x:v>2</x:v>
      </x:c>
      <x:c r="C8" s="33" t="n">
        <x:f>SUMIF(Pages!C:C,A8,Pages!I:I)</x:f>
        <x:v>5</x:v>
      </x:c>
      <x:c r="D8" s="33" t="str">
        <x:v>Shared design-system reuse should be considered before converting this count to days.</x:v>
      </x:c>
    </x:row>
    <x:row r="9">
      <x:c r="A9" s="33" t="str">
        <x:v>Design</x:v>
      </x:c>
      <x:c r="B9" s="33" t="n">
        <x:f>COUNTIF(Pages!C:C,A9)</x:f>
        <x:v>1</x:v>
      </x:c>
      <x:c r="C9" s="33" t="n">
        <x:f>SUMIF(Pages!C:C,A9,Pages!I:I)</x:f>
        <x:v>3</x:v>
      </x:c>
      <x:c r="D9" s="33" t="str">
        <x:v>Shared design-system reuse should be considered before converting this count to days.</x:v>
      </x:c>
    </x:row>
    <x:row r="10">
      <x:c r="A10" s="33" t="str">
        <x:v>Export</x:v>
      </x:c>
      <x:c r="B10" s="33" t="n">
        <x:f>COUNTIF(Pages!C:C,A10)</x:f>
        <x:v>2</x:v>
      </x:c>
      <x:c r="C10" s="33" t="n">
        <x:f>SUMIF(Pages!C:C,A10,Pages!I:I)</x:f>
        <x:v>5</x:v>
      </x:c>
      <x:c r="D10" s="33" t="str">
        <x:v>Shared design-system reuse should be considered before converting this count to days.</x:v>
      </x:c>
    </x:row>
    <x:row r="11">
      <x:c r="A11" s="33" t="str">
        <x:v>Gallery</x:v>
      </x:c>
      <x:c r="B11" s="33" t="n">
        <x:f>COUNTIF(Pages!C:C,A11)</x:f>
        <x:v>3</x:v>
      </x:c>
      <x:c r="C11" s="33" t="n">
        <x:f>SUMIF(Pages!C:C,A11,Pages!I:I)</x:f>
        <x:v>11</x:v>
      </x:c>
      <x:c r="D11" s="33" t="str">
        <x:v>Shared design-system reuse should be considered before converting this count to days.</x:v>
      </x:c>
    </x:row>
    <x:row r="12">
      <x:c r="A12" s="33" t="str">
        <x:v>Guest</x:v>
      </x:c>
      <x:c r="B12" s="33" t="n">
        <x:f>COUNTIF(Pages!C:C,A12)</x:f>
        <x:v>13</x:v>
      </x:c>
      <x:c r="C12" s="33" t="n">
        <x:f>SUMIF(Pages!C:C,A12,Pages!I:I)</x:f>
        <x:v>36</x:v>
      </x:c>
      <x:c r="D12" s="33" t="str">
        <x:v>Shared design-system reuse should be considered before converting this count to days.</x:v>
      </x:c>
    </x:row>
    <x:row r="13">
      <x:c r="A13" s="33" t="str">
        <x:v>Host</x:v>
      </x:c>
      <x:c r="B13" s="33" t="n">
        <x:f>COUNTIF(Pages!C:C,A13)</x:f>
        <x:v>7</x:v>
      </x:c>
      <x:c r="C13" s="33" t="n">
        <x:f>SUMIF(Pages!C:C,A13,Pages!I:I)</x:f>
        <x:v>26</x:v>
      </x:c>
      <x:c r="D13" s="33" t="str">
        <x:v>Shared design-system reuse should be considered before converting this count to days.</x:v>
      </x:c>
    </x:row>
    <x:row r="14">
      <x:c r="A14" s="33" t="str">
        <x:v>Lifecycle</x:v>
      </x:c>
      <x:c r="B14" s="33" t="n">
        <x:f>COUNTIF(Pages!C:C,A14)</x:f>
        <x:v>3</x:v>
      </x:c>
      <x:c r="C14" s="33" t="n">
        <x:f>SUMIF(Pages!C:C,A14,Pages!I:I)</x:f>
        <x:v>11</x:v>
      </x:c>
      <x:c r="D14" s="33" t="str">
        <x:v>Shared design-system reuse should be considered before converting this count to days.</x:v>
      </x:c>
    </x:row>
    <x:row r="15">
      <x:c r="A15" s="33" t="str">
        <x:v>Operations</x:v>
      </x:c>
      <x:c r="B15" s="33" t="n">
        <x:f>COUNTIF(Pages!C:C,A15)</x:f>
        <x:v>1</x:v>
      </x:c>
      <x:c r="C15" s="33" t="n">
        <x:f>SUMIF(Pages!C:C,A15,Pages!I:I)</x:f>
        <x:v>3</x:v>
      </x:c>
      <x:c r="D15" s="33" t="str">
        <x:v>Shared design-system reuse should be considered before converting this count to days.</x:v>
      </x:c>
    </x:row>
    <x:row r="16">
      <x:c r="A16" s="33" t="str">
        <x:v>Payment</x:v>
      </x:c>
      <x:c r="B16" s="33" t="n">
        <x:f>COUNTIF(Pages!C:C,A16)</x:f>
        <x:v>5</x:v>
      </x:c>
      <x:c r="C16" s="33" t="n">
        <x:f>SUMIF(Pages!C:C,A16,Pages!I:I)</x:f>
        <x:v>14</x:v>
      </x:c>
      <x:c r="D16" s="33" t="str">
        <x:v>Shared design-system reuse should be considered before converting this count to days.</x:v>
      </x:c>
    </x:row>
    <x:row r="17">
      <x:c r="A17" s="33" t="str">
        <x:v>Public</x:v>
      </x:c>
      <x:c r="B17" s="33" t="n">
        <x:f>COUNTIF(Pages!C:C,A17)</x:f>
        <x:v>8</x:v>
      </x:c>
      <x:c r="C17" s="33" t="n">
        <x:f>SUMIF(Pages!C:C,A17,Pages!I:I)</x:f>
        <x:v>18</x:v>
      </x:c>
      <x:c r="D17" s="33" t="str">
        <x:v>Shared design-system reuse should be considered before converting this count to days.</x:v>
      </x:c>
    </x:row>
    <x:row r="18">
      <x:c r="A18" s="33" t="str">
        <x:v>Schedule</x:v>
      </x:c>
      <x:c r="B18" s="33" t="n">
        <x:f>COUNTIF(Pages!C:C,A18)</x:f>
        <x:v>1</x:v>
      </x:c>
      <x:c r="C18" s="33" t="n">
        <x:f>SUMIF(Pages!C:C,A18,Pages!I:I)</x:f>
        <x:v>5</x:v>
      </x:c>
      <x:c r="D18" s="33" t="str">
        <x:v>Shared design-system reuse should be considered before converting this count to days.</x:v>
      </x:c>
    </x:row>
    <x:row r="19">
      <x:c r="A19" s="33" t="str">
        <x:v>Sharing</x:v>
      </x:c>
      <x:c r="B19" s="33" t="n">
        <x:f>COUNTIF(Pages!C:C,A19)</x:f>
        <x:v>2</x:v>
      </x:c>
      <x:c r="C19" s="33" t="n">
        <x:f>SUMIF(Pages!C:C,A19,Pages!I:I)</x:f>
        <x:v>7</x:v>
      </x:c>
      <x:c r="D19" s="33" t="str">
        <x:v>Shared design-system reuse should be considered before converting this count to days.</x:v>
      </x:c>
    </x:row>
    <x:row r="20">
      <x:c r="A20" s="33" t="str">
        <x:v>Superadmin</x:v>
      </x:c>
      <x:c r="B20" s="33" t="n">
        <x:f>COUNTIF(Pages!C:C,A20)</x:f>
        <x:v>16</x:v>
      </x:c>
      <x:c r="C20" s="33" t="n">
        <x:f>SUMIF(Pages!C:C,A20,Pages!I:I)</x:f>
        <x:v>54</x:v>
      </x:c>
      <x:c r="D20" s="33" t="str">
        <x:v>Shared design-system reuse should be considered before converting this count to days.</x:v>
      </x:c>
    </x:row>
    <x:row r="21">
      <x:c r="A21" s="33" t="str">
        <x:v>System</x:v>
      </x:c>
      <x:c r="B21" s="33" t="n">
        <x:f>COUNTIF(Pages!C:C,A21)</x:f>
        <x:v>5</x:v>
      </x:c>
      <x:c r="C21" s="33" t="n">
        <x:f>SUMIF(Pages!C:C,A21,Pages!I:I)</x:f>
        <x:v>6</x:v>
      </x:c>
      <x:c r="D21" s="33" t="str">
        <x:v>Shared design-system reuse should be considered before converting this count to days.</x:v>
      </x:c>
    </x:row>
    <x:row r="22">
      <x:c r="A22" s="33" t="str">
        <x:v>WO/EO</x:v>
      </x:c>
      <x:c r="B22" s="33" t="n">
        <x:f>COUNTIF(Pages!C:C,A22)</x:f>
        <x:v>4</x:v>
      </x:c>
      <x:c r="C22" s="33" t="n">
        <x:f>SUMIF(Pages!C:C,A22,Pages!I:I)</x:f>
        <x:v>15</x:v>
      </x:c>
      <x:c r="D22" s="33" t="str">
        <x:v>Shared design-system reuse should be considered before converting this count to days.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5d0678f283bf43ea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60" hidden="0" customWidth="1"/>
  </x:cols>
  <x:sheetData>
    <x:row r="1">
      <x:c r="A1" s="5" t="str">
        <x:v>Kepotret UI Registry Code Rules</x:v>
      </x:c>
      <x:c r="B1" s="5"/>
      <x:c r="C1" s="5"/>
      <x:c r="D1" s="5"/>
    </x:row>
    <x:row r="3">
      <x:c r="A3" s="14" t="str">
        <x:v>Prefix</x:v>
      </x:c>
      <x:c r="B3" s="14" t="str">
        <x:v>Meaning</x:v>
      </x:c>
      <x:c r="C3" s="14" t="str">
        <x:v>Example</x:v>
      </x:c>
      <x:c r="D3" s="14" t="str">
        <x:v>Rule</x:v>
      </x:c>
    </x:row>
    <x:row r="4">
      <x:c r="A4" s="33" t="str">
        <x:v>H</x:v>
      </x:c>
      <x:c r="B4" s="33" t="str">
        <x:v>Halaman / primary screen</x:v>
      </x:c>
      <x:c r="C4" s="33" t="str">
        <x:v>H01</x:v>
      </x:c>
      <x:c r="D4" s="33" t="str">
        <x:v>Never reuse retired codes.</x:v>
      </x:c>
    </x:row>
    <x:row r="5">
      <x:c r="A5" s="33" t="str">
        <x:v>M</x:v>
      </x:c>
      <x:c r="B5" s="33" t="str">
        <x:v>Modal / dialog</x:v>
      </x:c>
      <x:c r="C5" s="33" t="str">
        <x:v>M01</x:v>
      </x:c>
      <x:c r="D5" s="33" t="str">
        <x:v>Blocking/confirming focused action.</x:v>
      </x:c>
    </x:row>
    <x:row r="6">
      <x:c r="A6" s="33" t="str">
        <x:v>D</x:v>
      </x:c>
      <x:c r="B6" s="33" t="str">
        <x:v>Drawer / bottom sheet / side panel</x:v>
      </x:c>
      <x:c r="C6" s="33" t="str">
        <x:v>D01</x:v>
      </x:c>
      <x:c r="D6" s="33" t="str">
        <x:v>Persistent enough to require design reference.</x:v>
      </x:c>
    </x:row>
    <x:row r="7">
      <x:c r="A7" s="33" t="str">
        <x:v>P</x:v>
      </x:c>
      <x:c r="B7" s="33" t="str">
        <x:v>Popover / menu</x:v>
      </x:c>
      <x:c r="C7" s="33" t="str">
        <x:v>P01</x:v>
      </x:c>
      <x:c r="D7" s="33" t="str">
        <x:v>Small anchored interaction.</x:v>
      </x:c>
    </x:row>
    <x:row r="8">
      <x:c r="A8" s="33" t="str">
        <x:v>A</x:v>
      </x:c>
      <x:c r="B8" s="33" t="str">
        <x:v>Alert / banner / inline notice</x:v>
      </x:c>
      <x:c r="C8" s="33" t="str">
        <x:v>A01</x:v>
      </x:c>
      <x:c r="D8" s="33" t="str">
        <x:v>Persistent contextual message.</x:v>
      </x:c>
    </x:row>
    <x:row r="9">
      <x:c r="A9" s="33" t="str">
        <x:v>T</x:v>
      </x:c>
      <x:c r="B9" s="33" t="str">
        <x:v>Toast / snackbar</x:v>
      </x:c>
      <x:c r="C9" s="33" t="str">
        <x:v>T01</x:v>
      </x:c>
      <x:c r="D9" s="33" t="str">
        <x:v>Transient action feedback.</x:v>
      </x:c>
    </x:row>
    <x:row r="10">
      <x:c r="A10" s="33" t="str">
        <x:v>E</x:v>
      </x:c>
      <x:c r="B10" s="33" t="str">
        <x:v>Empty / error / exceptional state</x:v>
      </x:c>
      <x:c r="C10" s="33" t="str">
        <x:v>E01</x:v>
      </x:c>
      <x:c r="D10" s="33" t="str">
        <x:v>Reusable state; not counted as a page.</x:v>
      </x:c>
    </x:row>
    <x:row r="11">
      <x:c r="A11" s="33" t="str">
        <x:v>C</x:v>
      </x:c>
      <x:c r="B11" s="33" t="str">
        <x:v>Chatbot / conversational state</x:v>
      </x:c>
      <x:c r="C11" s="33" t="str">
        <x:v>C01</x:v>
      </x:c>
      <x:c r="D11" s="33" t="str">
        <x:v>Role-aware AI UI.</x:v>
      </x:c>
    </x:row>
    <x:row r="12">
      <x:c r="A12" s="33" t="str">
        <x:v>O</x:v>
      </x:c>
      <x:c r="B12" s="33" t="str">
        <x:v>Overlay / full-screen transient experience</x:v>
      </x:c>
      <x:c r="C12" s="33" t="str">
        <x:v>O01</x:v>
      </x:c>
      <x:c r="D12" s="33" t="str">
        <x:v>Camera/media/loading overlays.</x:v>
      </x:c>
    </x:row>
    <x:row r="13">
      <x:c r="A13" s="33" t="str">
        <x:v>Hxx-Syy</x:v>
      </x:c>
      <x:c r="B13" s="33" t="str">
        <x:v>State variant under a page</x:v>
      </x:c>
      <x:c r="C13" s="33" t="str">
        <x:v>H38-S02</x:v>
      </x:c>
      <x:c r="D13" s="33" t="str">
        <x:v>Not a new page unless objective/IA changes materially.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8" hidden="0" customWidth="1"/>
    <x:col min="4" max="4" width="38" hidden="0" customWidth="1"/>
    <x:col min="5" max="5" width="18" hidden="0" customWidth="1"/>
  </x:cols>
  <x:sheetData>
    <x:row r="1">
      <x:c r="A1" s="5" t="str">
        <x:v>Frontend Estimation Guidance — Checkpoint 8.1</x:v>
      </x:c>
      <x:c r="B1" s="5"/>
      <x:c r="C1" s="5"/>
      <x:c r="D1" s="5"/>
      <x:c r="E1" s="5"/>
    </x:row>
    <x:row r="3">
      <x:c r="A3" s="14" t="str">
        <x:v>Dimension</x:v>
      </x:c>
      <x:c r="B3" s="14" t="str">
        <x:v>Rule</x:v>
      </x:c>
      <x:c r="C3" s="14" t="str">
        <x:v>Why it matters</x:v>
      </x:c>
      <x:c r="D3" s="14" t="str">
        <x:v>When to estimate days</x:v>
      </x:c>
      <x:c r="E3" s="14" t="str">
        <x:v>Checkpoint</x:v>
      </x:c>
    </x:row>
    <x:row r="4">
      <x:c r="A4" s="33" t="str">
        <x:v>Effort Points</x:v>
      </x:c>
      <x:c r="B4" s="33" t="str">
        <x:v>S=1, M=2, L=3, XL=5 relative points</x:v>
      </x:c>
      <x:c r="C4" s="33" t="str">
        <x:v>Consistent scope sizing before visual design</x:v>
      </x:c>
      <x:c r="D4" s="33" t="str">
        <x:v>After 8.2/8.3 confirms flows and reusable patterns</x:v>
      </x:c>
      <x:c r="E4" s="33" t="str">
        <x:v>8.1</x:v>
      </x:c>
    </x:row>
    <x:row r="5">
      <x:c r="A5" s="33" t="str">
        <x:v>Responsive</x:v>
      </x:c>
      <x:c r="B5" s="33" t="str">
        <x:v>Guest/camera mobile-first; dashboards work desktop</x:v>
      </x:c>
      <x:c r="C5" s="33" t="str">
        <x:v>Same screen may need materially different responsive behavior</x:v>
      </x:c>
      <x:c r="D5" s="33" t="str">
        <x:v>After breakpoint/component strategy</x:v>
      </x:c>
      <x:c r="E5" s="33" t="str">
        <x:v>8.2/8.3</x:v>
      </x:c>
    </x:row>
    <x:row r="6">
      <x:c r="A6" s="33" t="str">
        <x:v>Shared shell</x:v>
      </x:c>
      <x:c r="B6" s="33" t="str">
        <x:v>Host/WO share many components but permissions change actions</x:v>
      </x:c>
      <x:c r="C6" s="33" t="str">
        <x:v>Avoid double-counting reusable implementation</x:v>
      </x:c>
      <x:c r="D6" s="33" t="str">
        <x:v>After navigation model is approved</x:v>
      </x:c>
      <x:c r="E6" s="33" t="str">
        <x:v>8.2</x:v>
      </x:c>
    </x:row>
    <x:row r="7">
      <x:c r="A7" s="33" t="str">
        <x:v>Design system</x:v>
      </x:c>
      <x:c r="B7" s="33" t="str">
        <x:v>Buttons/forms/tables/cards/modals/toasts reusable</x:v>
      </x:c>
      <x:c r="C7" s="33" t="str">
        <x:v>Can reduce implementation cost substantially</x:v>
      </x:c>
      <x:c r="D7" s="33" t="str">
        <x:v>After UI kit/component inventory</x:v>
      </x:c>
      <x:c r="E7" s="33" t="str">
        <x:v>8.3</x:v>
      </x:c>
    </x:row>
    <x:row r="8">
      <x:c r="A8" s="33" t="str">
        <x:v>API readiness</x:v>
      </x:c>
      <x:c r="B8" s="33" t="str">
        <x:v>OpenAPI v1 is locked source contract</x:v>
      </x:c>
      <x:c r="C8" s="33" t="str">
        <x:v>Reduces API guessing and integration rework</x:v>
      </x:c>
      <x:c r="D8" s="33" t="str">
        <x:v>Can estimate data integration earlier</x:v>
      </x:c>
      <x:c r="E8" s="33" t="str">
        <x:v>Checkpoint 7</x:v>
      </x:c>
    </x:row>
    <x:row r="9">
      <x:c r="A9" s="33" t="str">
        <x:v>Exceptional states</x:v>
      </x:c>
      <x:c r="B9" s="33" t="str">
        <x:v>48 reusable states are explicit scope</x:v>
      </x:c>
      <x:c r="C9" s="33" t="str">
        <x:v>Professional UX includes recovery, not only happy path</x:v>
      </x:c>
      <x:c r="D9" s="33" t="str">
        <x:v>After state-to-component mapping</x:v>
      </x:c>
      <x:c r="E9" s="33" t="str">
        <x:v>8.2/8.3</x:v>
      </x:c>
    </x:row>
    <x:row r="10">
      <x:c r="A10" s="33" t="str">
        <x:v>Calendar duration</x:v>
      </x:c>
      <x:c r="B10" s="33" t="str">
        <x:v>Do not convert points to days with a generic assumption</x:v>
      </x:c>
      <x:c r="C10" s="33" t="str">
        <x:v>Depends on provider velocity, QA, browser/device test and polish</x:v>
      </x:c>
      <x:c r="D10" s="33" t="str">
        <x:v>Provider supplies velocity/historical benchmark</x:v>
      </x:c>
      <x:c r="E10" s="33" t="str">
        <x:v>Before implementation</x:v>
      </x:c>
    </x:row>
  </x:sheetData>
  <x:mergeCells>
    <x:mergeCell ref="A1:E1"/>
  </x:mergeCells>
  <x:pageMargins left="0.7" right="0.7" top="0.75" bottom="0.75" header="0.3" footer="0.3"/>
</x:worksheet>
</file>